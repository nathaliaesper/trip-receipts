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autoCompressPictures="0"/>
  <mc:AlternateContent xmlns:mc="http://schemas.openxmlformats.org/markup-compatibility/2006">
    <mc:Choice Requires="x15">
      <x15ac:absPath xmlns:x15ac="http://schemas.microsoft.com/office/spreadsheetml/2010/11/ac" url="/Users/nathalia.esper/Documents/Github_Repositories/trip-receipts/"/>
    </mc:Choice>
  </mc:AlternateContent>
  <xr:revisionPtr revIDLastSave="0" documentId="8_{02A1367B-C257-C440-BE33-597351ACB48A}" xr6:coauthVersionLast="47" xr6:coauthVersionMax="47" xr10:uidLastSave="{00000000-0000-0000-0000-000000000000}"/>
  <bookViews>
    <workbookView xWindow="32900" yWindow="4480" windowWidth="34300" windowHeight="15900" xr2:uid="{3127E4C5-4F18-4D91-AAAC-7E3B26F72B23}"/>
  </bookViews>
  <sheets>
    <sheet name="Exp Reimb Form" sheetId="1" r:id="rId1"/>
    <sheet name="Budget Coding Reference Alph" sheetId="9" state="hidden" r:id="rId2"/>
    <sheet name="Travel Reimb Form" sheetId="5" state="hidden" r:id="rId3"/>
    <sheet name="Missing Doc Form" sheetId="6" state="hidden" r:id="rId4"/>
    <sheet name="CMI Staff Exp Reimb POLICY" sheetId="8" state="hidden" r:id="rId5"/>
    <sheet name="NON-CMI STAFF Exp Reimb POLICY" sheetId="7" state="hidden" r:id="rId6"/>
  </sheets>
  <definedNames>
    <definedName name="_xlnm._FilterDatabase" localSheetId="1" hidden="1">'Budget Coding Reference Alph'!$A$1:$J$241</definedName>
    <definedName name="_Toc170362663" localSheetId="4">'CMI Staff Exp Reimb POLICY'!$A$6</definedName>
    <definedName name="_Toc170362664" localSheetId="4">'CMI Staff Exp Reimb POLICY'!$A$14</definedName>
    <definedName name="_Toc170363025" localSheetId="4">'CMI Staff Exp Reimb POLICY'!$A$30</definedName>
    <definedName name="_Toc170363026" localSheetId="4">'CMI Staff Exp Reimb POLICY'!$A$34</definedName>
    <definedName name="_Toc170363027" localSheetId="4">'CMI Staff Exp Reimb POLICY'!$A$39</definedName>
    <definedName name="_Toc170363028" localSheetId="4">'CMI Staff Exp Reimb POLICY'!$A$42</definedName>
    <definedName name="_Toc170363029" localSheetId="4">'CMI Staff Exp Reimb POLICY'!$A$45</definedName>
    <definedName name="_Toc170363030" localSheetId="4">'CMI Staff Exp Reimb POLICY'!$A$53</definedName>
    <definedName name="_Toc170363031" localSheetId="4">'CMI Staff Exp Reimb POLICY'!$A$55</definedName>
    <definedName name="_Toc170363032" localSheetId="4">'CMI Staff Exp Reimb POLICY'!$A$67</definedName>
    <definedName name="_Toc170363033" localSheetId="4">'CMI Staff Exp Reimb POLICY'!$A$69</definedName>
    <definedName name="DR_LAST_REFRESH_ALL">25568.7916666667</definedName>
    <definedName name="_xlnm.Print_Area" localSheetId="0">'Exp Reimb Form'!$A$2:$P$40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18" i="1" l="1"/>
  <c r="J17" i="1" l="1"/>
  <c r="F17" i="1" l="1"/>
  <c r="H18" i="1"/>
  <c r="J18" i="1"/>
  <c r="L18" i="1"/>
  <c r="N18" i="1"/>
  <c r="P18" i="1"/>
  <c r="N17" i="1"/>
  <c r="L17" i="1"/>
  <c r="H17" i="1"/>
  <c r="P17" i="1"/>
  <c r="I34" i="5" l="1"/>
  <c r="D34" i="5"/>
  <c r="C34" i="5"/>
  <c r="B34" i="5"/>
  <c r="E33" i="5"/>
  <c r="E32" i="5"/>
  <c r="E31" i="5"/>
  <c r="E30" i="5"/>
  <c r="E29" i="5"/>
  <c r="E28" i="5"/>
  <c r="E27" i="5"/>
  <c r="E26" i="5"/>
  <c r="E34" i="5"/>
  <c r="H22" i="5"/>
  <c r="G22" i="5"/>
  <c r="F22" i="5"/>
  <c r="E22" i="5"/>
  <c r="D22" i="5"/>
  <c r="C22" i="5"/>
  <c r="B22" i="5"/>
  <c r="I21" i="5"/>
  <c r="I20" i="5"/>
  <c r="I19" i="5"/>
  <c r="I18" i="5"/>
  <c r="I17" i="5"/>
  <c r="I16" i="5"/>
  <c r="I15" i="5"/>
  <c r="I14" i="5"/>
  <c r="I22" i="5"/>
  <c r="I36" i="5"/>
  <c r="D19" i="1"/>
  <c r="D21" i="1" s="1"/>
</calcChain>
</file>

<file path=xl/sharedStrings.xml><?xml version="1.0" encoding="utf-8"?>
<sst xmlns="http://schemas.openxmlformats.org/spreadsheetml/2006/main" count="841" uniqueCount="738">
  <si>
    <t>This form is to be used by CMI employees to request reimbursement for business expenses or to clear outstanding cash advances.  CMI will not reimburse requests for expenses that are deemed nonpermissable/nonreimbursable by the organization.  For guidance, refer to the Expense Reimbursement Policy located on the Finance Yammer page.</t>
  </si>
  <si>
    <t>PAYEE INFORMATION</t>
  </si>
  <si>
    <t>1. PAYEE'S NAME</t>
  </si>
  <si>
    <t>2. HOME ADDRESS</t>
  </si>
  <si>
    <t>EXPENSE / ACCOUNT DETAILS</t>
  </si>
  <si>
    <t>3. DATE</t>
  </si>
  <si>
    <t>4. EXPENSE TYPE</t>
  </si>
  <si>
    <t>5. AMOUNT</t>
  </si>
  <si>
    <t>6. BUDGET CODING</t>
  </si>
  <si>
    <r>
      <t xml:space="preserve">SELECT FROM DROPDOWN MENU </t>
    </r>
    <r>
      <rPr>
        <b/>
        <sz val="9"/>
        <color theme="1"/>
        <rFont val="Calibri"/>
        <family val="2"/>
      </rPr>
      <t>↓</t>
    </r>
  </si>
  <si>
    <t>Entity</t>
  </si>
  <si>
    <t>GL Account</t>
  </si>
  <si>
    <t xml:space="preserve"> Department</t>
  </si>
  <si>
    <t xml:space="preserve"> Project</t>
  </si>
  <si>
    <t xml:space="preserve">
Grant</t>
  </si>
  <si>
    <t xml:space="preserve"> Clinician</t>
  </si>
  <si>
    <r>
      <t>TOTAL EXPENSE</t>
    </r>
    <r>
      <rPr>
        <b/>
        <sz val="10"/>
        <color indexed="8"/>
        <rFont val="Calibri"/>
        <family val="2"/>
      </rPr>
      <t>S:</t>
    </r>
  </si>
  <si>
    <t>10a</t>
  </si>
  <si>
    <t>LESS CASH ADVANCE: *</t>
  </si>
  <si>
    <t>10b</t>
  </si>
  <si>
    <t>*Cash Advance: Refers only to any preapproved and distributed cash advance</t>
  </si>
  <si>
    <t>EXPENSES NET OF ADVANCES:                 (10a - 10b = 10c)</t>
  </si>
  <si>
    <t>10c</t>
  </si>
  <si>
    <t>If amount in 10c is less than zero, please attach a check payable to Child Mind Institute.</t>
  </si>
  <si>
    <r>
      <rPr>
        <b/>
        <sz val="10"/>
        <color theme="1"/>
        <rFont val="Calibri"/>
        <family val="2"/>
        <scheme val="minor"/>
      </rPr>
      <t xml:space="preserve">7. TOTAL AMOUNT OF REIMBURSEMENT </t>
    </r>
    <r>
      <rPr>
        <sz val="10"/>
        <color theme="1"/>
        <rFont val="Calibri"/>
        <family val="2"/>
        <scheme val="minor"/>
      </rPr>
      <t>(in words)</t>
    </r>
  </si>
  <si>
    <r>
      <t xml:space="preserve">8. DESCRIPTION </t>
    </r>
    <r>
      <rPr>
        <b/>
        <u/>
        <sz val="10"/>
        <color theme="1"/>
        <rFont val="Calibri"/>
        <family val="2"/>
        <scheme val="minor"/>
      </rPr>
      <t>AND</t>
    </r>
    <r>
      <rPr>
        <b/>
        <sz val="10"/>
        <color theme="1"/>
        <rFont val="Calibri"/>
        <family val="2"/>
        <scheme val="minor"/>
      </rPr>
      <t xml:space="preserve"> BUSINESS PURPOSE OF EXPENSE(S)</t>
    </r>
  </si>
  <si>
    <t>9. SIGNATURES / APPROVALS</t>
  </si>
  <si>
    <t>I, the Payee, certify that the charges reported here are correct and that I am not claiming reimbursement from other sources for the same.</t>
  </si>
  <si>
    <t>SIGNATURE OF PAYEE</t>
  </si>
  <si>
    <t>EMAIL ADDRESS OF PAYEE</t>
  </si>
  <si>
    <t>TEL. NUMBER</t>
  </si>
  <si>
    <t>DATE</t>
  </si>
  <si>
    <t>NAME OF APPROVER #2 (if applicable)</t>
  </si>
  <si>
    <t>SIGNATURE OF APPROVER #2</t>
  </si>
  <si>
    <r>
      <t xml:space="preserve">PAYEE AUTHORIZING ANOTHER PERSON TO PICK UP REIMBURSEMENT </t>
    </r>
    <r>
      <rPr>
        <sz val="10"/>
        <color theme="1"/>
        <rFont val="Calibri"/>
        <family val="2"/>
        <scheme val="minor"/>
      </rPr>
      <t>(Payee's Signature)</t>
    </r>
  </si>
  <si>
    <t>NAME OF PERSON TO PICK UP REIMBURSEMENT</t>
  </si>
  <si>
    <t>SIGNATURE OF PERSON TO PICK UP REIMBURSEMENT</t>
  </si>
  <si>
    <t>EXPENSE BREAKDOWN SHEET (TRAVEL)</t>
  </si>
  <si>
    <t>Attach to Form EXP2000</t>
  </si>
  <si>
    <t>Use this form to report and request reimbursement for expenses incurred during business travel.  All travel expenses must conform to the CMI's Expense Reimbursement Policy .  In the case of grants or contracts, Sponsor's regulations or contract terms must also be followed.  For per diem amount applicable to foreign travel charged to grants or contracts, refer to the government website (www.state.gov/travel).  *For current mileage rate, refer to the IRS website (http://www.irs.gov/taxpros/article/0,,id=156624,00.html)</t>
  </si>
  <si>
    <r>
      <t>PAYEE'S FULL NAME</t>
    </r>
    <r>
      <rPr>
        <sz val="10"/>
        <color indexed="8"/>
        <rFont val="Calibri"/>
        <family val="2"/>
      </rPr>
      <t xml:space="preserve"> (First, Middle Initial, Last)</t>
    </r>
  </si>
  <si>
    <t>DEPARTMENT</t>
    <phoneticPr fontId="5" type="noConversion"/>
  </si>
  <si>
    <t>TELEPHONE NUMBER</t>
    <phoneticPr fontId="5" type="noConversion"/>
  </si>
  <si>
    <t>INCLUSIVE DATES OF TRAVEL</t>
    <phoneticPr fontId="5" type="noConversion"/>
  </si>
  <si>
    <t>BUSINESS PURPOSE OF TRAVEL</t>
    <phoneticPr fontId="5" type="noConversion"/>
  </si>
  <si>
    <t>DEPARTURE</t>
    <phoneticPr fontId="5" type="noConversion"/>
  </si>
  <si>
    <t>RETURN</t>
    <phoneticPr fontId="5" type="noConversion"/>
  </si>
  <si>
    <t>EXPENSE DETAILS</t>
    <phoneticPr fontId="5" type="noConversion"/>
  </si>
  <si>
    <t>DATE</t>
    <phoneticPr fontId="5" type="noConversion"/>
  </si>
  <si>
    <t>HOTEL</t>
    <phoneticPr fontId="5" type="noConversion"/>
  </si>
  <si>
    <t>AIR/BUS/RAIL</t>
    <phoneticPr fontId="5" type="noConversion"/>
  </si>
  <si>
    <t>PERSONAL CAR/*TOLLS</t>
  </si>
  <si>
    <t>CAR RENTAL</t>
    <phoneticPr fontId="5" type="noConversion"/>
  </si>
  <si>
    <t>PARKING</t>
    <phoneticPr fontId="5" type="noConversion"/>
  </si>
  <si>
    <t>CAR SERVICE/TAXI</t>
    <phoneticPr fontId="5" type="noConversion"/>
  </si>
  <si>
    <t>TELEPHONE/FAX/INTERNET</t>
    <phoneticPr fontId="5" type="noConversion"/>
  </si>
  <si>
    <t>SUBTOTAL</t>
    <phoneticPr fontId="5" type="noConversion"/>
  </si>
  <si>
    <t>SUBTOTAL (GENERAL EXPENSES)</t>
    <phoneticPr fontId="5" type="noConversion"/>
  </si>
  <si>
    <t>(A)</t>
  </si>
  <si>
    <r>
      <t xml:space="preserve">MEALS DURING TRAVEL AND OTHER EXPENSES: </t>
    </r>
    <r>
      <rPr>
        <i/>
        <sz val="10"/>
        <color indexed="8"/>
        <rFont val="Calibri"/>
        <family val="2"/>
      </rPr>
      <t>Use this section for meal expenses incurred during travel.  Meal expenses not related to travel should be reported on Form EXP2000.</t>
    </r>
  </si>
  <si>
    <t>BREAKFAST</t>
    <phoneticPr fontId="5" type="noConversion"/>
  </si>
  <si>
    <t>LUNCH</t>
    <phoneticPr fontId="5" type="noConversion"/>
  </si>
  <si>
    <t>DINNER</t>
    <phoneticPr fontId="5" type="noConversion"/>
  </si>
  <si>
    <t>OTHER (DESCRIPTION)</t>
    <phoneticPr fontId="5" type="noConversion"/>
  </si>
  <si>
    <t>OTHER (AMOUNT)</t>
    <phoneticPr fontId="5" type="noConversion"/>
  </si>
  <si>
    <t>SUBTOTAL (MEALS)</t>
    <phoneticPr fontId="5" type="noConversion"/>
  </si>
  <si>
    <t>SUBTOTAL (OTHER EXPENSES INCURRED DURING TRAVEL)</t>
  </si>
  <si>
    <t>(B)</t>
  </si>
  <si>
    <t>(C)</t>
  </si>
  <si>
    <t>TOTAL TRAVEL EXPENSES (A + B + C)</t>
  </si>
  <si>
    <t>MISSING/INADEQUATE DOCUMENTATION FORM</t>
  </si>
  <si>
    <t>Use this form when you are requesting reimbursement from the CMI for expenses that are not supported by original receipts or other documentation.</t>
  </si>
  <si>
    <t>This form is not required for miscellaneous expenses under $25. When expenses are for meals, however, receipts are required even when the amount is under $25. Use this form when requesting reimbursement for meals with missing or inadequate documentation, even when the amount is under $25.</t>
  </si>
  <si>
    <t>Attach completed form to your Expense Reimbursement Form, along with other documentation you are providing in lieu of original receipts/other appropriate documentation.</t>
  </si>
  <si>
    <t>For guidance on reimbursement of expenses, refer to the Expense Reimbursement Policy.</t>
  </si>
  <si>
    <t xml:space="preserve">DATE  </t>
  </si>
  <si>
    <t>NAME</t>
  </si>
  <si>
    <t>DEPARTMENT</t>
  </si>
  <si>
    <r>
      <t>TELEPHONE</t>
    </r>
    <r>
      <rPr>
        <sz val="10"/>
        <color theme="1"/>
        <rFont val="Times New Roman"/>
        <family val="1"/>
      </rPr>
      <t xml:space="preserve"> </t>
    </r>
    <r>
      <rPr>
        <b/>
        <sz val="10"/>
        <color theme="1"/>
        <rFont val="Times New Roman"/>
        <family val="1"/>
      </rPr>
      <t>NUMBER</t>
    </r>
  </si>
  <si>
    <t>DOCUMENTATION MISSING</t>
  </si>
  <si>
    <t>(Check one only. Use one form for each expense with missing or inadequate documentation.)</t>
  </si>
  <si>
    <t>BUSINESS MEALS (TRAVEL)</t>
  </si>
  <si>
    <t>GROUND TRANSPORTATION</t>
  </si>
  <si>
    <t>OTHER (SPECIFY):</t>
  </si>
  <si>
    <t>BUSINESS MEALS (NONTRAVEL)</t>
  </si>
  <si>
    <t>PARKING, TOLL, ETC.</t>
  </si>
  <si>
    <t>____________________________________________</t>
  </si>
  <si>
    <t>SUPPORTING DOCUMENTATION PROVIDED IN LIEU OF MISSING RECEIPT OR APPROPRIATE DOCUMENTATION:</t>
  </si>
  <si>
    <t>______________________________________________________________________________________________________________</t>
  </si>
  <si>
    <t>STATEMENT:</t>
  </si>
  <si>
    <t>I, the Payee, certify that the original receipt/s for the expense/s reported on the Expense Reimbursement Form and/or Expense Breakdown Sheet (Travel) was/were lost and a copy could not be obtained from the vendor.  I certify that these expenses for which I am seeking reimbursement from the CMI will not be submitted for reimbursement to any other organization or agency.  I also certify that the expenses do not include federal “unallowable costs”.</t>
  </si>
  <si>
    <t xml:space="preserve">                                                                                                                         __________________________________________________</t>
  </si>
  <si>
    <t xml:space="preserve">                                                                                                                                                     PAYEE SIGNATURE</t>
  </si>
  <si>
    <t>Expense Reimbursement Policy</t>
  </si>
  <si>
    <t>Purpose</t>
  </si>
  <si>
    <t>The Child Mind Institute (CMI) recognizes that board members, officers and employees may be required to travel or incur other expenses to further the mission of this nonprofit organization.  The purpose of this policy is to ensure that (a) adequate cost controls are in place, (b) travel and other expenditures are appropriate, and (c) to provide a uniform and consistent approach for the timely reimbursement of authorized expenses incurred by personnel.  It is CMI’s policy to reimburse only reasonable and necessary expenses actually incurred by personnel.</t>
  </si>
  <si>
    <t>When incurring business expenses, CMI expects personnel to:</t>
  </si>
  <si>
    <r>
      <t>·</t>
    </r>
    <r>
      <rPr>
        <sz val="7"/>
        <color theme="1"/>
        <rFont val="Times New Roman"/>
        <family val="1"/>
      </rPr>
      <t xml:space="preserve">       </t>
    </r>
    <r>
      <rPr>
        <sz val="12"/>
        <color theme="1"/>
        <rFont val="Calibri"/>
        <family val="2"/>
      </rPr>
      <t xml:space="preserve">Exercise discretion and good business judgment with respect to those expenses. </t>
    </r>
  </si>
  <si>
    <r>
      <t>·</t>
    </r>
    <r>
      <rPr>
        <sz val="7"/>
        <color theme="1"/>
        <rFont val="Times New Roman"/>
        <family val="1"/>
      </rPr>
      <t xml:space="preserve">       </t>
    </r>
    <r>
      <rPr>
        <sz val="12"/>
        <color theme="1"/>
        <rFont val="Calibri"/>
        <family val="2"/>
      </rPr>
      <t>Be cost conscious and spend CMI’s funds as carefully and judiciously as the individual would spend his or her own funds.</t>
    </r>
  </si>
  <si>
    <r>
      <t>·</t>
    </r>
    <r>
      <rPr>
        <sz val="7"/>
        <color theme="1"/>
        <rFont val="Times New Roman"/>
        <family val="1"/>
      </rPr>
      <t xml:space="preserve">       </t>
    </r>
    <r>
      <rPr>
        <sz val="12"/>
        <color theme="1"/>
        <rFont val="Calibri"/>
        <family val="2"/>
      </rPr>
      <t xml:space="preserve">Report expenses, supported by required documentation, as they were actually spent. </t>
    </r>
  </si>
  <si>
    <t>Expense Reporting</t>
  </si>
  <si>
    <r>
      <t xml:space="preserve">Expense Report – </t>
    </r>
    <r>
      <rPr>
        <sz val="12"/>
        <color theme="1"/>
        <rFont val="Calibri"/>
        <family val="2"/>
      </rPr>
      <t>Expenses will not be reimbursed unless the individual requesting reimbursement submits a written Expense Reimbursement Form, which must include:</t>
    </r>
  </si>
  <si>
    <r>
      <t>·</t>
    </r>
    <r>
      <rPr>
        <sz val="7"/>
        <color theme="1"/>
        <rFont val="Times New Roman"/>
        <family val="1"/>
      </rPr>
      <t xml:space="preserve">       </t>
    </r>
    <r>
      <rPr>
        <sz val="12"/>
        <color theme="1"/>
        <rFont val="Calibri"/>
        <family val="2"/>
      </rPr>
      <t>The individual’s name.</t>
    </r>
  </si>
  <si>
    <r>
      <t>·</t>
    </r>
    <r>
      <rPr>
        <sz val="7"/>
        <color theme="1"/>
        <rFont val="Times New Roman"/>
        <family val="1"/>
      </rPr>
      <t xml:space="preserve">       </t>
    </r>
    <r>
      <rPr>
        <sz val="12"/>
        <color theme="1"/>
        <rFont val="Calibri"/>
        <family val="2"/>
      </rPr>
      <t>If reimbursement for travel is requested, the date, origin, destination and purpose of the trip.</t>
    </r>
  </si>
  <si>
    <r>
      <t>·</t>
    </r>
    <r>
      <rPr>
        <sz val="7"/>
        <color theme="1"/>
        <rFont val="Times New Roman"/>
        <family val="1"/>
      </rPr>
      <t xml:space="preserve">       </t>
    </r>
    <r>
      <rPr>
        <sz val="12"/>
        <color theme="1"/>
        <rFont val="Calibri"/>
        <family val="2"/>
      </rPr>
      <t>The name and affiliation of all people for whom expenses are claimed (i.e., people on whom money is spent in order to conduct CMI’s business).</t>
    </r>
  </si>
  <si>
    <r>
      <t>·</t>
    </r>
    <r>
      <rPr>
        <sz val="7"/>
        <color theme="1"/>
        <rFont val="Times New Roman"/>
        <family val="1"/>
      </rPr>
      <t xml:space="preserve">       </t>
    </r>
    <r>
      <rPr>
        <sz val="12"/>
        <color theme="1"/>
        <rFont val="Calibri"/>
        <family val="2"/>
      </rPr>
      <t>An itemized list of all expenses for which reimbursement is requested.</t>
    </r>
  </si>
  <si>
    <r>
      <t xml:space="preserve">Receipts – </t>
    </r>
    <r>
      <rPr>
        <sz val="12"/>
        <color theme="1"/>
        <rFont val="Calibri"/>
        <family val="2"/>
      </rPr>
      <t xml:space="preserve">Receipts are required for all expenditures billed directly to CMI, such as airfare and hotel charges.  Itemized receipts from each vendor (not a credit card receipt or statement) showing the vendor’s name, a description of the services provided (if not otherwise obvious), the date, and the total expenses, including tips (if applicable) must be submitted with the written Expense Reimbursement Form.  If receipts are missing, employees must complete the Missing/Inadequate Documentation Form. </t>
    </r>
  </si>
  <si>
    <r>
      <t xml:space="preserve">Timing – </t>
    </r>
    <r>
      <rPr>
        <sz val="12"/>
        <color theme="1"/>
        <rFont val="Calibri"/>
        <family val="2"/>
      </rPr>
      <t xml:space="preserve">Expense reports shall be submitted to supervisors within 30 days of incurring the expense.  Expenses that are submitted later require special approval and will take longer to reimburse.  Reimbursement checks will be distributed within two weeks of when the completed and approved documents are received by Finance.  </t>
    </r>
  </si>
  <si>
    <r>
      <t>Approval</t>
    </r>
    <r>
      <rPr>
        <sz val="12"/>
        <color theme="1"/>
        <rFont val="Calibri"/>
        <family val="2"/>
      </rPr>
      <t xml:space="preserve"> – </t>
    </r>
    <r>
      <rPr>
        <sz val="12"/>
        <color rgb="FF000000"/>
        <rFont val="Calibri"/>
        <family val="2"/>
      </rPr>
      <t>Expense reports require two approvals.  The employee’s direct supervisor is the first approver, and the Chief Operating Officer is the final approver.  The Chief of Staff is the backup final approver.  All forms will be reviewed by the Financial Analyst for completeness.</t>
    </r>
  </si>
  <si>
    <t xml:space="preserve"> </t>
  </si>
  <si>
    <r>
      <t>CMI Credit Cards</t>
    </r>
    <r>
      <rPr>
        <b/>
        <sz val="12"/>
        <color theme="1"/>
        <rFont val="Calibri"/>
        <family val="2"/>
      </rPr>
      <t xml:space="preserve"> </t>
    </r>
    <r>
      <rPr>
        <i/>
        <sz val="12"/>
        <color rgb="FF000000"/>
        <rFont val="Calibri"/>
        <family val="2"/>
      </rPr>
      <t>(limited to Executive Administration due to the limited policies of American Express and effect on personal credit)</t>
    </r>
  </si>
  <si>
    <t>If a corporate credit card is issued to personnel for travel and other CMI-related expenses, the requirements for regular expense reports, explaining charges, as described above under “Expense Reporting” must still be met, and charges may not be made for non-reimbursable expenditures as described below.  Failure to meet the expense report requirements, or making of inappropriate charges will result in loss of the credit card.</t>
  </si>
  <si>
    <t>General Travel Requirements</t>
  </si>
  <si>
    <r>
      <t>Advance Approval</t>
    </r>
    <r>
      <rPr>
        <sz val="12"/>
        <color rgb="FF000000"/>
        <rFont val="Calibri"/>
        <family val="2"/>
      </rPr>
      <t xml:space="preserve"> – All trips involving air travel or at least one overnight stay must be approved in advance by the individual’s supervisor.</t>
    </r>
    <r>
      <rPr>
        <sz val="12"/>
        <color rgb="FF000000"/>
        <rFont val="Times New Roman"/>
        <family val="1"/>
      </rPr>
      <t xml:space="preserve">  </t>
    </r>
    <r>
      <rPr>
        <sz val="12"/>
        <color rgb="FF000000"/>
        <rFont val="Calibri"/>
        <family val="2"/>
      </rPr>
      <t xml:space="preserve">If travel is conference-related, employees must complete the Conference Request Form in advance of the conference.    </t>
    </r>
  </si>
  <si>
    <r>
      <t>Necessity of Travel</t>
    </r>
    <r>
      <rPr>
        <sz val="12"/>
        <color rgb="FF000000"/>
        <rFont val="Calibri"/>
        <family val="2"/>
      </rPr>
      <t xml:space="preserve"> – In determining the reasonableness and necessity of travel expenses, personnel and the person authorizing the travel shall consider the ways in which CMI will benefit from the travel and weigh those benefits against the anticipated costs of the travel. The same considerations shall be taken into account in deciding whether a particular individual’s presence on a trip is necessary.  In determining whether the benefits to CMI outweigh the costs, less expensive alternatives, such as participation by telephone or video conferencing, or the availability of local programs or training opportunities, shall be considered.</t>
    </r>
  </si>
  <si>
    <r>
      <t>Personal &amp; Spousal Travel Expenses</t>
    </r>
    <r>
      <rPr>
        <sz val="12"/>
        <color rgb="FF000000"/>
        <rFont val="Calibri"/>
        <family val="2"/>
      </rPr>
      <t xml:space="preserve"> – Individuals traveling on behalf of CMI may incorporate personal travel or business with their Company-related trips; however, personnel shall not arrange Company travel at a time that is less advantageous to CMI or involve greater expense to CMI in order to accommodate personal travel plans.  Any additional expenses incurred as a result of personal travel, including but not limited to extra hotel nights, additional stopovers, meals or transportation, are the sole responsibility of the individual and will not be reimbursed by CMI.  Expenses associated with travel of an individual’s spouse, family or friends will not be reimbursed by CMI.</t>
    </r>
  </si>
  <si>
    <t>Air Travel</t>
  </si>
  <si>
    <r>
      <t>General</t>
    </r>
    <r>
      <rPr>
        <sz val="12"/>
        <color rgb="FF000000"/>
        <rFont val="Calibri"/>
        <family val="2"/>
      </rPr>
      <t xml:space="preserve"> – Air travel reservations should be made as far in advance as possible in order to take advantage of reduced fares.  CMI will reimburse or pay only the cost of the lowest coach class fare actually available for direct, non-stop flights from the airport nearest the individual’s home or office to the airport nearest the destination.</t>
    </r>
  </si>
  <si>
    <r>
      <t>Weekend Stays</t>
    </r>
    <r>
      <rPr>
        <sz val="12"/>
        <color rgb="FF000000"/>
        <rFont val="Calibri"/>
        <family val="2"/>
      </rPr>
      <t xml:space="preserve"> – Personnel traveling on behalf of CMI are not required to stay over weekend nights in order to reduce the price of an airline ticket.  An individual who chooses to stay over a weekend shall be reimbursed for reasonable lodging and meal expenses incurred over the weekend to the extent the expenses incurred do not exceed the difference between the price of the weekend night stay ticket and the price of the lowest price available ticket that would not include a weekend night stay.  To receive reimbursement for such lodging and meal expenses, the individual must supply, along with the Expense Reimbursement Form, documentation of the amount of the difference between the price of the weekend stay and non-weekend stay airline tickets.</t>
    </r>
  </si>
  <si>
    <r>
      <t>Frequent Flyer Miles &amp; Compensation for Denied Boarding</t>
    </r>
    <r>
      <rPr>
        <sz val="12"/>
        <color rgb="FF000000"/>
        <rFont val="Calibri"/>
        <family val="2"/>
      </rPr>
      <t xml:space="preserve"> – Personnel traveling on behalf of CMI may accept and retain frequent flyer miles and compensation for denied boarding for their personal use.  Individuals may not deliberately patronize a single airline to accumulate frequent flyer miles if less expensive comparable tickets are available on another airline.</t>
    </r>
  </si>
  <si>
    <r>
      <t>Fees/Penalties</t>
    </r>
    <r>
      <rPr>
        <sz val="12"/>
        <color rgb="FF000000"/>
        <rFont val="Calibri"/>
        <family val="2"/>
      </rPr>
      <t xml:space="preserve"> – In cases where cancellation fees/penalties are incurred as a result of a change of plans, the fees will be reimbursed if there is a valid business reason for the change of plans.  This explanation should be included in the Expense Reimbursement Form.  In instances where these fees/penalties are incurred without adequate explanation, the cost of the fees/penalties will not be reimbursed.</t>
    </r>
  </si>
  <si>
    <t>Lodging</t>
  </si>
  <si>
    <t>Personnel traveling on behalf of CMI may be reimbursed at the single room rate for the reasonable cost of hotel accommodations.  Convenience, the cost of staying in the city in which the hotel is located, and proximity to other venues on the individual’s itinerary shall be considered in determining reasonableness.  Personnel shall make use of available corporate and discount rates for hotels.  Deluxe or luxury hotel rates will not be reimbursed.</t>
  </si>
  <si>
    <t>Meals</t>
  </si>
  <si>
    <r>
      <t xml:space="preserve">Conference-Related Travel – </t>
    </r>
    <r>
      <rPr>
        <sz val="12"/>
        <color rgb="FF000000"/>
        <rFont val="Calibri"/>
        <family val="2"/>
      </rPr>
      <t>Personnel traveling for conferences are reimbursed for the reasonable and actual cost of meals (including tips).  Personnel will not be reimbursed for meals paid for or provided by others.  Personnel must submit itemized receipts for meals for reimbursement.  Alcohol is not a reimbursable expense.</t>
    </r>
  </si>
  <si>
    <r>
      <t>Patient-Related Travel</t>
    </r>
    <r>
      <rPr>
        <sz val="12"/>
        <color rgb="FF000000"/>
        <rFont val="Calibri"/>
        <family val="2"/>
      </rPr>
      <t xml:space="preserve"> – Meal expenses for patient-related travel are part of the patient bill, if negotiated, and are not reimbursable by CMI.</t>
    </r>
  </si>
  <si>
    <t>Ground Transportation</t>
  </si>
  <si>
    <t>Employees are expected to use the most economical ground transportation appropriate under the circumstances and should generally use the following, in this order of desirability:</t>
  </si>
  <si>
    <r>
      <t xml:space="preserve">Courtesy Cars – </t>
    </r>
    <r>
      <rPr>
        <sz val="12"/>
        <color rgb="FF000000"/>
        <rFont val="Calibri"/>
        <family val="2"/>
      </rPr>
      <t>Many hotels have courtesy cars, which will take you to and from the airport at no charge.  The hotel will generally have a well-marked courtesy phone at the airport if this service is available.  Employees should take advantage of this free service whenever possible.  Another alternative may be an airport shuttle or bus.</t>
    </r>
  </si>
  <si>
    <r>
      <t xml:space="preserve">Taxis – </t>
    </r>
    <r>
      <rPr>
        <sz val="12"/>
        <color rgb="FF000000"/>
        <rFont val="Calibri"/>
        <family val="2"/>
      </rPr>
      <t>When courtesy cars and airport shuttles are not available, a taxi is often the next most economical and convenient form of transportation when the trip is for a limited time and minimal mileage is involved.  A taxi may also be the most economical mode of transportation between an individual’s home and the airport.</t>
    </r>
  </si>
  <si>
    <r>
      <t xml:space="preserve">Rental Cars – </t>
    </r>
    <r>
      <rPr>
        <sz val="12"/>
        <color rgb="FF000000"/>
        <rFont val="Calibri"/>
        <family val="2"/>
      </rPr>
      <t>Employees will be allowed to rent a car while out of town provided that advance approval has been given by the individual’s supervisor and that the cost is less than alternative methods of transportation.</t>
    </r>
  </si>
  <si>
    <t>Personal Cars</t>
  </si>
  <si>
    <t>Personnel are compensated for use of their personal cars when used for CMI business except for the regular travel commute to and form employees’ primary work location.  When individuals use their personal car for such travel, including travel to and from the airport, mileage will be reimbursed at the currently approved IRS rate per mile, which can be found at http://www.irs.gov/taxpros/article/0,,id=156624,00.html.</t>
  </si>
  <si>
    <t>Parking/Tolls</t>
  </si>
  <si>
    <t>Parking and toll expenses, including charges for hotel parking, incurred by personnel traveling on CMI business will be reimbursed.  The costs of parking tickets, fines, car washes, valet service, etc., are the responsibility of the employee and will not be reimbursed.</t>
  </si>
  <si>
    <t>On-airport parking is permitted for short business trips. For extended trips, personnel should use off-airport facilities.</t>
  </si>
  <si>
    <r>
      <t>Entertainment &amp; Business Meetings</t>
    </r>
    <r>
      <rPr>
        <b/>
        <sz val="12"/>
        <color theme="1"/>
        <rFont val="Calibri"/>
        <family val="2"/>
      </rPr>
      <t xml:space="preserve"> </t>
    </r>
    <r>
      <rPr>
        <i/>
        <sz val="12"/>
        <color theme="1"/>
        <rFont val="Calibri"/>
        <family val="2"/>
      </rPr>
      <t>(mostly applies to Development)</t>
    </r>
  </si>
  <si>
    <t>Reasonable expenses incurred for business meetings or other types of business-related entertainment will be reimbursed only if the expenditures are approved in advance by CMI.  Detailed documentation for any such expense must be provided, including:</t>
  </si>
  <si>
    <r>
      <t>·</t>
    </r>
    <r>
      <rPr>
        <sz val="7"/>
        <color rgb="FF000000"/>
        <rFont val="Times New Roman"/>
        <family val="1"/>
      </rPr>
      <t xml:space="preserve">       </t>
    </r>
    <r>
      <rPr>
        <sz val="12"/>
        <color rgb="FF000000"/>
        <rFont val="Calibri"/>
        <family val="2"/>
      </rPr>
      <t>date and place of entertainment.</t>
    </r>
  </si>
  <si>
    <r>
      <t>·</t>
    </r>
    <r>
      <rPr>
        <sz val="7"/>
        <color rgb="FF000000"/>
        <rFont val="Times New Roman"/>
        <family val="1"/>
      </rPr>
      <t xml:space="preserve">       </t>
    </r>
    <r>
      <rPr>
        <sz val="12"/>
        <color rgb="FF000000"/>
        <rFont val="Calibri"/>
        <family val="2"/>
      </rPr>
      <t>nature of expense.</t>
    </r>
  </si>
  <si>
    <r>
      <t>·</t>
    </r>
    <r>
      <rPr>
        <sz val="7"/>
        <color rgb="FF000000"/>
        <rFont val="Times New Roman"/>
        <family val="1"/>
      </rPr>
      <t xml:space="preserve">       </t>
    </r>
    <r>
      <rPr>
        <sz val="12"/>
        <color rgb="FF000000"/>
        <rFont val="Calibri"/>
        <family val="2"/>
      </rPr>
      <t>names, titles and corporate affiliation of those entertained.</t>
    </r>
  </si>
  <si>
    <r>
      <t>·</t>
    </r>
    <r>
      <rPr>
        <sz val="7"/>
        <color rgb="FF000000"/>
        <rFont val="Times New Roman"/>
        <family val="1"/>
      </rPr>
      <t xml:space="preserve">       </t>
    </r>
    <r>
      <rPr>
        <sz val="12"/>
        <color rgb="FF000000"/>
        <rFont val="Calibri"/>
        <family val="2"/>
      </rPr>
      <t>a complete description of the business purpose for the activity including the specific business matter discussed.</t>
    </r>
  </si>
  <si>
    <r>
      <t>·</t>
    </r>
    <r>
      <rPr>
        <sz val="7"/>
        <color rgb="FF000000"/>
        <rFont val="Times New Roman"/>
        <family val="1"/>
      </rPr>
      <t xml:space="preserve">       </t>
    </r>
    <r>
      <rPr>
        <sz val="12"/>
        <color rgb="FF000000"/>
        <rFont val="Calibri"/>
        <family val="2"/>
      </rPr>
      <t>vendor receipts (not credit card receipts or statements) showing the vendor’s name, a description of the services provided, the date, and the total expenses, including tips (if applicable).</t>
    </r>
  </si>
  <si>
    <t>Other Expenses</t>
  </si>
  <si>
    <t xml:space="preserve">Reasonable CMI-related telephone and fax charges due to absence of personnel from the individual’s place of business are reimbursable. </t>
  </si>
  <si>
    <t>Non-Reimbursable Expenditures</t>
  </si>
  <si>
    <t>CMI maintains a strict policy that expenses in any category that could be perceived as lavish or excessive will not be reimbursed; as such expenses are inappropriate for reimbursement by a nonprofit, charitable organization.  Expenses that are not reimbursable include, but are not limited to:</t>
  </si>
  <si>
    <t>Travel-Related</t>
  </si>
  <si>
    <r>
      <t>·</t>
    </r>
    <r>
      <rPr>
        <sz val="7"/>
        <color rgb="FF000000"/>
        <rFont val="Times New Roman"/>
        <family val="1"/>
      </rPr>
      <t xml:space="preserve">       </t>
    </r>
    <r>
      <rPr>
        <sz val="12"/>
        <color rgb="FF000000"/>
        <rFont val="Calibri"/>
        <family val="2"/>
      </rPr>
      <t>Travel insurance.</t>
    </r>
  </si>
  <si>
    <r>
      <t>·</t>
    </r>
    <r>
      <rPr>
        <sz val="7"/>
        <color rgb="FF000000"/>
        <rFont val="Times New Roman"/>
        <family val="1"/>
      </rPr>
      <t xml:space="preserve">       </t>
    </r>
    <r>
      <rPr>
        <sz val="12"/>
        <color rgb="FF000000"/>
        <rFont val="Calibri"/>
        <family val="2"/>
      </rPr>
      <t>Any airline ticket above coach class (business/first).</t>
    </r>
  </si>
  <si>
    <r>
      <t>·</t>
    </r>
    <r>
      <rPr>
        <sz val="7"/>
        <color rgb="FF000000"/>
        <rFont val="Times New Roman"/>
        <family val="1"/>
      </rPr>
      <t xml:space="preserve">       </t>
    </r>
    <r>
      <rPr>
        <sz val="12"/>
        <color rgb="FF000000"/>
        <rFont val="Calibri"/>
        <family val="2"/>
      </rPr>
      <t>Upgrades to air travel, car rentals or hotel rooms.</t>
    </r>
  </si>
  <si>
    <r>
      <t>·</t>
    </r>
    <r>
      <rPr>
        <sz val="7"/>
        <color rgb="FF000000"/>
        <rFont val="Times New Roman"/>
        <family val="1"/>
      </rPr>
      <t xml:space="preserve">       </t>
    </r>
    <r>
      <rPr>
        <sz val="12"/>
        <color rgb="FF000000"/>
        <rFont val="Calibri"/>
        <family val="2"/>
      </rPr>
      <t xml:space="preserve">When lodging accommodations have been arranged by CMI and the individual elects to stay elsewhere, reimbursement is made at the amount no higher than the rate negotiated by CMI.  </t>
    </r>
  </si>
  <si>
    <r>
      <t>·</t>
    </r>
    <r>
      <rPr>
        <sz val="7"/>
        <color rgb="FF000000"/>
        <rFont val="Times New Roman"/>
        <family val="1"/>
      </rPr>
      <t xml:space="preserve">       </t>
    </r>
    <r>
      <rPr>
        <sz val="12"/>
        <color rgb="FF000000"/>
        <rFont val="Calibri"/>
        <family val="2"/>
      </rPr>
      <t>Limousine travel.</t>
    </r>
  </si>
  <si>
    <r>
      <t>·</t>
    </r>
    <r>
      <rPr>
        <sz val="7"/>
        <color rgb="FF000000"/>
        <rFont val="Times New Roman"/>
        <family val="1"/>
      </rPr>
      <t xml:space="preserve">       </t>
    </r>
    <r>
      <rPr>
        <sz val="12"/>
        <color rgb="FF000000"/>
        <rFont val="Calibri"/>
        <family val="2"/>
      </rPr>
      <t xml:space="preserve">Valet service. </t>
    </r>
  </si>
  <si>
    <r>
      <t>·</t>
    </r>
    <r>
      <rPr>
        <sz val="7"/>
        <color rgb="FF000000"/>
        <rFont val="Times New Roman"/>
        <family val="1"/>
      </rPr>
      <t xml:space="preserve">       </t>
    </r>
    <r>
      <rPr>
        <sz val="12"/>
        <color rgb="FF000000"/>
        <rFont val="Calibri"/>
        <family val="2"/>
      </rPr>
      <t>Overnight retreats without the prior approval of CMI.</t>
    </r>
  </si>
  <si>
    <t>Personal</t>
  </si>
  <si>
    <r>
      <t>·</t>
    </r>
    <r>
      <rPr>
        <sz val="7"/>
        <color rgb="FF000000"/>
        <rFont val="Times New Roman"/>
        <family val="1"/>
      </rPr>
      <t xml:space="preserve">       </t>
    </r>
    <r>
      <rPr>
        <sz val="12"/>
        <color rgb="FF000000"/>
        <rFont val="Calibri"/>
        <family val="2"/>
      </rPr>
      <t>Alcohol (with exception of Development).</t>
    </r>
  </si>
  <si>
    <r>
      <t>·</t>
    </r>
    <r>
      <rPr>
        <sz val="7"/>
        <color rgb="FF000000"/>
        <rFont val="Times New Roman"/>
        <family val="1"/>
      </rPr>
      <t xml:space="preserve">       </t>
    </r>
    <r>
      <rPr>
        <sz val="12"/>
        <color rgb="FF000000"/>
        <rFont val="Calibri"/>
        <family val="2"/>
      </rPr>
      <t>Purchase of clothing, luggage, toiletries and other miscellaneous personal items.</t>
    </r>
  </si>
  <si>
    <r>
      <t>·</t>
    </r>
    <r>
      <rPr>
        <sz val="7"/>
        <color rgb="FF000000"/>
        <rFont val="Times New Roman"/>
        <family val="1"/>
      </rPr>
      <t xml:space="preserve">       </t>
    </r>
    <r>
      <rPr>
        <sz val="12"/>
        <color rgb="FF000000"/>
        <rFont val="Calibri"/>
        <family val="2"/>
      </rPr>
      <t>Personal entertainment or recreational expenses.</t>
    </r>
  </si>
  <si>
    <r>
      <t>·</t>
    </r>
    <r>
      <rPr>
        <sz val="7"/>
        <color rgb="FF000000"/>
        <rFont val="Times New Roman"/>
        <family val="1"/>
      </rPr>
      <t xml:space="preserve">       </t>
    </r>
    <r>
      <rPr>
        <sz val="12"/>
        <color rgb="FF000000"/>
        <rFont val="Calibri"/>
        <family val="2"/>
      </rPr>
      <t>Expenses for spouses, friends or relatives. If a spouse, friend or relative accompanies personnel on a trip, it is the responsibility of the personnel to determine any added cost for double occupancy and related expenses and to make the appropriate adjustment in the reimbursement request.</t>
    </r>
  </si>
  <si>
    <t>EXTERNAL EXPENSE REIMBURSEMENT POLICY</t>
  </si>
  <si>
    <t>The purpose of this policy is to specify the reimbursable expense items for individuals who are not employed by the Child Mind Institute (CMI) and to outline the process for receiving reimbursement from CMI.</t>
  </si>
  <si>
    <t>Allowable Expenses</t>
  </si>
  <si>
    <t>CMI will only reimburse expenses directly related to visits to the CMI and meetings with CMI clinicians.  These expenses include:</t>
  </si>
  <si>
    <r>
      <t>·</t>
    </r>
    <r>
      <rPr>
        <sz val="7"/>
        <color theme="1"/>
        <rFont val="Times New Roman"/>
        <family val="1"/>
      </rPr>
      <t xml:space="preserve">       </t>
    </r>
    <r>
      <rPr>
        <sz val="12"/>
        <color theme="1"/>
        <rFont val="Times New Roman"/>
        <family val="1"/>
      </rPr>
      <t>Transportation to and from New York City</t>
    </r>
  </si>
  <si>
    <r>
      <t>·</t>
    </r>
    <r>
      <rPr>
        <sz val="7"/>
        <color theme="1"/>
        <rFont val="Times New Roman"/>
        <family val="1"/>
      </rPr>
      <t xml:space="preserve">       </t>
    </r>
    <r>
      <rPr>
        <sz val="12"/>
        <color theme="1"/>
        <rFont val="Times New Roman"/>
        <family val="1"/>
      </rPr>
      <t>Transportation to and from CMI and affiliated facilities</t>
    </r>
  </si>
  <si>
    <r>
      <t>·</t>
    </r>
    <r>
      <rPr>
        <sz val="7"/>
        <color theme="1"/>
        <rFont val="Times New Roman"/>
        <family val="1"/>
      </rPr>
      <t xml:space="preserve">       </t>
    </r>
    <r>
      <rPr>
        <sz val="12"/>
        <color theme="1"/>
        <rFont val="Times New Roman"/>
        <family val="1"/>
      </rPr>
      <t>Lodging</t>
    </r>
  </si>
  <si>
    <r>
      <t>·</t>
    </r>
    <r>
      <rPr>
        <sz val="7"/>
        <color theme="1"/>
        <rFont val="Times New Roman"/>
        <family val="1"/>
      </rPr>
      <t xml:space="preserve">       </t>
    </r>
    <r>
      <rPr>
        <sz val="12"/>
        <color theme="1"/>
        <rFont val="Times New Roman"/>
        <family val="1"/>
      </rPr>
      <t>Breakfast and lunch if these meals are not provided by the CMI or affiliated institutions.  Breakfast can be reimbursed up to $10.</t>
    </r>
    <r>
      <rPr>
        <sz val="9"/>
        <color theme="1"/>
        <rFont val="Cambria"/>
        <family val="1"/>
      </rPr>
      <t> </t>
    </r>
  </si>
  <si>
    <t>Unallowable Expenses</t>
  </si>
  <si>
    <t>The CMI will not reimburse the following items:</t>
  </si>
  <si>
    <r>
      <t>·</t>
    </r>
    <r>
      <rPr>
        <sz val="7"/>
        <color theme="1"/>
        <rFont val="Times New Roman"/>
        <family val="1"/>
      </rPr>
      <t xml:space="preserve">       </t>
    </r>
    <r>
      <rPr>
        <sz val="12"/>
        <color theme="1"/>
        <rFont val="Times New Roman"/>
        <family val="1"/>
      </rPr>
      <t>Transportation not associated with the visit to CMI or affiliated facilities</t>
    </r>
  </si>
  <si>
    <r>
      <t>·</t>
    </r>
    <r>
      <rPr>
        <sz val="7"/>
        <color theme="1"/>
        <rFont val="Times New Roman"/>
        <family val="1"/>
      </rPr>
      <t xml:space="preserve">       </t>
    </r>
    <r>
      <rPr>
        <sz val="12"/>
        <color theme="1"/>
        <rFont val="Times New Roman"/>
        <family val="1"/>
      </rPr>
      <t>Dinners not had with clinicians from CMI or affiliated facilities</t>
    </r>
  </si>
  <si>
    <r>
      <t>·</t>
    </r>
    <r>
      <rPr>
        <sz val="7"/>
        <color theme="1"/>
        <rFont val="Times New Roman"/>
        <family val="1"/>
      </rPr>
      <t xml:space="preserve">       </t>
    </r>
    <r>
      <rPr>
        <sz val="12"/>
        <color theme="1"/>
        <rFont val="Times New Roman"/>
        <family val="1"/>
      </rPr>
      <t>Alcoholic beverages</t>
    </r>
  </si>
  <si>
    <r>
      <t>·</t>
    </r>
    <r>
      <rPr>
        <sz val="7"/>
        <color theme="1"/>
        <rFont val="Times New Roman"/>
        <family val="1"/>
      </rPr>
      <t xml:space="preserve">       </t>
    </r>
    <r>
      <rPr>
        <sz val="12"/>
        <color theme="1"/>
        <rFont val="Times New Roman"/>
        <family val="1"/>
      </rPr>
      <t>Hotel incidentals (e.g. Internet, room service, movies, etc.)</t>
    </r>
  </si>
  <si>
    <t>Required Documentation</t>
  </si>
  <si>
    <t>To satisfy federal requirements, original vendor-generated receipts that identify each item purchased must be provided.  In cases where original vendor-generated receipts are not available or possible, other appropriate documentation may be submitted.  Appropriate documentation should show as much information as possible regarding the expense incurred.</t>
  </si>
  <si>
    <r>
      <t>·</t>
    </r>
    <r>
      <rPr>
        <sz val="7"/>
        <color theme="1"/>
        <rFont val="Times New Roman"/>
        <family val="1"/>
      </rPr>
      <t xml:space="preserve">       </t>
    </r>
    <r>
      <rPr>
        <i/>
        <sz val="12"/>
        <color theme="1"/>
        <rFont val="Times New Roman"/>
        <family val="1"/>
      </rPr>
      <t>Airline/Rail</t>
    </r>
  </si>
  <si>
    <r>
      <t>o</t>
    </r>
    <r>
      <rPr>
        <sz val="7"/>
        <color theme="1"/>
        <rFont val="Times New Roman"/>
        <family val="1"/>
      </rPr>
      <t xml:space="preserve">   </t>
    </r>
    <r>
      <rPr>
        <sz val="12"/>
        <color theme="1"/>
        <rFont val="Times New Roman"/>
        <family val="1"/>
      </rPr>
      <t>Paper ticket – The original “passenger receipt coupon” from the airline that is usually issued to a passenger when a printed paper ticket has been purchased.</t>
    </r>
  </si>
  <si>
    <r>
      <t>o</t>
    </r>
    <r>
      <rPr>
        <sz val="7"/>
        <color theme="1"/>
        <rFont val="Times New Roman"/>
        <family val="1"/>
      </rPr>
      <t xml:space="preserve">   </t>
    </r>
    <r>
      <rPr>
        <sz val="12"/>
        <color theme="1"/>
        <rFont val="Times New Roman"/>
        <family val="1"/>
      </rPr>
      <t>Electronic ticket – Passengers who are issued electronic tickets should request a “passenger receipt coupon” or, when purchase is made online, attach a printout of the page confirming the purchase.</t>
    </r>
  </si>
  <si>
    <r>
      <t>·</t>
    </r>
    <r>
      <rPr>
        <sz val="7"/>
        <color theme="1"/>
        <rFont val="Times New Roman"/>
        <family val="1"/>
      </rPr>
      <t xml:space="preserve">       </t>
    </r>
    <r>
      <rPr>
        <i/>
        <sz val="12"/>
        <color theme="1"/>
        <rFont val="Times New Roman"/>
        <family val="1"/>
      </rPr>
      <t>Car Rental</t>
    </r>
  </si>
  <si>
    <r>
      <t>o</t>
    </r>
    <r>
      <rPr>
        <sz val="7"/>
        <color theme="1"/>
        <rFont val="Times New Roman"/>
        <family val="1"/>
      </rPr>
      <t xml:space="preserve">   </t>
    </r>
    <r>
      <rPr>
        <sz val="12"/>
        <color theme="1"/>
        <rFont val="Times New Roman"/>
        <family val="1"/>
      </rPr>
      <t>Car rental agreement or receipt for payment made.</t>
    </r>
  </si>
  <si>
    <r>
      <t>·</t>
    </r>
    <r>
      <rPr>
        <sz val="7"/>
        <color theme="1"/>
        <rFont val="Times New Roman"/>
        <family val="1"/>
      </rPr>
      <t xml:space="preserve">       </t>
    </r>
    <r>
      <rPr>
        <i/>
        <sz val="12"/>
        <color theme="1"/>
        <rFont val="Times New Roman"/>
        <family val="1"/>
      </rPr>
      <t>Private Vehicles</t>
    </r>
  </si>
  <si>
    <r>
      <t>o</t>
    </r>
    <r>
      <rPr>
        <sz val="7"/>
        <color theme="1"/>
        <rFont val="Times New Roman"/>
        <family val="1"/>
      </rPr>
      <t xml:space="preserve">   </t>
    </r>
    <r>
      <rPr>
        <sz val="12"/>
        <color theme="1"/>
        <rFont val="Times New Roman"/>
        <family val="1"/>
      </rPr>
      <t>Reimbursement request should include mileage calculation.  The standard mileage rate can be found at the IRS website: http://www.irs.gov/taxpros/article/0,,id=156624,00.html</t>
    </r>
  </si>
  <si>
    <r>
      <t>·</t>
    </r>
    <r>
      <rPr>
        <sz val="7"/>
        <color theme="1"/>
        <rFont val="Times New Roman"/>
        <family val="1"/>
      </rPr>
      <t xml:space="preserve">       </t>
    </r>
    <r>
      <rPr>
        <i/>
        <sz val="12"/>
        <color theme="1"/>
        <rFont val="Times New Roman"/>
        <family val="1"/>
      </rPr>
      <t>Hotel/Lodging</t>
    </r>
  </si>
  <si>
    <r>
      <t>o</t>
    </r>
    <r>
      <rPr>
        <sz val="7"/>
        <color theme="1"/>
        <rFont val="Times New Roman"/>
        <family val="1"/>
      </rPr>
      <t xml:space="preserve">   </t>
    </r>
    <r>
      <rPr>
        <sz val="12"/>
        <color theme="1"/>
        <rFont val="Times New Roman"/>
        <family val="1"/>
      </rPr>
      <t>The final hotel folio or itemized bill for lodging and expenses charged to the room.</t>
    </r>
  </si>
  <si>
    <r>
      <t>o</t>
    </r>
    <r>
      <rPr>
        <sz val="7"/>
        <color theme="1"/>
        <rFont val="Times New Roman"/>
        <family val="1"/>
      </rPr>
      <t xml:space="preserve">   </t>
    </r>
    <r>
      <rPr>
        <sz val="12"/>
        <color theme="1"/>
        <rFont val="Times New Roman"/>
        <family val="1"/>
      </rPr>
      <t>When hotels do not include charges for a room in the hotel folio, as in cases when hotel accommodations were not arranged directly with the hotel but purchased online through websites guaranteeing low flat rates, the printout of your online transaction should serve as appropriate documentation.</t>
    </r>
  </si>
  <si>
    <r>
      <t>·</t>
    </r>
    <r>
      <rPr>
        <sz val="7"/>
        <color theme="1"/>
        <rFont val="Times New Roman"/>
        <family val="1"/>
      </rPr>
      <t xml:space="preserve">       </t>
    </r>
    <r>
      <rPr>
        <i/>
        <sz val="12"/>
        <color theme="1"/>
        <rFont val="Times New Roman"/>
        <family val="1"/>
      </rPr>
      <t>Meals</t>
    </r>
  </si>
  <si>
    <r>
      <t>o</t>
    </r>
    <r>
      <rPr>
        <sz val="7"/>
        <color theme="1"/>
        <rFont val="Times New Roman"/>
        <family val="1"/>
      </rPr>
      <t xml:space="preserve">   </t>
    </r>
    <r>
      <rPr>
        <sz val="12"/>
        <color theme="1"/>
        <rFont val="Times New Roman"/>
        <family val="1"/>
      </rPr>
      <t>Detailed itemized receipts as well as the credit card copies are required.</t>
    </r>
  </si>
  <si>
    <t xml:space="preserve">Expense Submission Timing </t>
  </si>
  <si>
    <t>Expenses incurred in the conduct of CMI business generally should be accounted for within 30 days after the date of expenditure, completion of event, or return from a trip.</t>
  </si>
  <si>
    <t>Intacct Dept Name</t>
  </si>
  <si>
    <t>Intacct Dept ID</t>
  </si>
  <si>
    <t>Intacct Name</t>
  </si>
  <si>
    <t>Intacct Natural</t>
  </si>
  <si>
    <t>Intacct Project Name</t>
  </si>
  <si>
    <t>Intacct Project ID</t>
  </si>
  <si>
    <t>Intacct ID</t>
  </si>
  <si>
    <t>Intacct Location Name</t>
  </si>
  <si>
    <t>Entity or Fund name</t>
  </si>
  <si>
    <t>Entity or Fund ID</t>
  </si>
  <si>
    <t>Default (Non-Project Specific)</t>
  </si>
  <si>
    <t>Default</t>
  </si>
  <si>
    <t>Default (Non-Clinician Specific)</t>
  </si>
  <si>
    <t>CMI Unrestricted</t>
  </si>
  <si>
    <t>10-UNR</t>
  </si>
  <si>
    <t>Anonymous $5M Donation (Meeting the Moment) September 2022</t>
  </si>
  <si>
    <t>ANO1001</t>
  </si>
  <si>
    <t>Alexander, Kimberly Ann</t>
  </si>
  <si>
    <t>NY PLLC Unrestricted</t>
  </si>
  <si>
    <t>20-UNR</t>
  </si>
  <si>
    <t>BAR - Barclays - $150K Donation 9/18/20</t>
  </si>
  <si>
    <t>BAR1001</t>
  </si>
  <si>
    <t>Allerhand, Lauren</t>
  </si>
  <si>
    <t>CA PC Unrestricted</t>
  </si>
  <si>
    <t>30-UNR</t>
  </si>
  <si>
    <t>BAR - Barclays Grant for SCP Trainings</t>
  </si>
  <si>
    <t>BAR1002</t>
  </si>
  <si>
    <t>Anderson, David</t>
  </si>
  <si>
    <t>Badaly, Daryaneh</t>
  </si>
  <si>
    <t>CAMHI</t>
  </si>
  <si>
    <t>Briger Foundation</t>
  </si>
  <si>
    <t>BRI1001</t>
  </si>
  <si>
    <t>Bellantuono, Alessandro</t>
  </si>
  <si>
    <t>Clinical Training</t>
  </si>
  <si>
    <t>Bernstein, Heather</t>
  </si>
  <si>
    <t>Best, Cheryl Kayleen</t>
  </si>
  <si>
    <t>CAS - California State - NGDT</t>
  </si>
  <si>
    <t>CAS1002 - A</t>
  </si>
  <si>
    <t>Boorady, Roy</t>
  </si>
  <si>
    <t>Development</t>
  </si>
  <si>
    <t>CAS - California State - Resilient Parenting Videos</t>
  </si>
  <si>
    <t>CAS1002 - B</t>
  </si>
  <si>
    <t>Breidenstine, Angela Sue</t>
  </si>
  <si>
    <t>CAS California State Early Talents Program 2022</t>
  </si>
  <si>
    <t>CAS1003</t>
  </si>
  <si>
    <t>Bubrick, Jerome</t>
  </si>
  <si>
    <t>Facilities</t>
  </si>
  <si>
    <t>Chase, Lindsey Giller</t>
  </si>
  <si>
    <t>Finance</t>
  </si>
  <si>
    <t>Coleman, Taina Kwam</t>
  </si>
  <si>
    <t>Global Center</t>
  </si>
  <si>
    <t>Congress, Susanne Elizabeth</t>
  </si>
  <si>
    <t>Cooperman, Alana Lauren</t>
  </si>
  <si>
    <t>Human Resources</t>
  </si>
  <si>
    <t>Crane, Tess</t>
  </si>
  <si>
    <t>IT</t>
  </si>
  <si>
    <t>DOE New York City Council (7.1.22-6.30.23)</t>
  </si>
  <si>
    <t>DOE1005</t>
  </si>
  <si>
    <t>Cruger, Matthew</t>
  </si>
  <si>
    <t>DOE1006</t>
  </si>
  <si>
    <t>Dewey, Angela Marie</t>
  </si>
  <si>
    <t>Operations</t>
  </si>
  <si>
    <t>GOOGLE Online Abuse Research Grant</t>
  </si>
  <si>
    <t>GGL1001</t>
  </si>
  <si>
    <t>Domingues, Janine</t>
  </si>
  <si>
    <t>GRA - Gray Foundation</t>
  </si>
  <si>
    <t>GRA1001</t>
  </si>
  <si>
    <t>Duarte, Jeincy</t>
  </si>
  <si>
    <t>GRA - Gray FDN SCP Grant 12/17/21-11/30/22</t>
  </si>
  <si>
    <t>GRA1002</t>
  </si>
  <si>
    <t>Dyson, Margaret W.</t>
  </si>
  <si>
    <t>Eldridge, Morgan A.</t>
  </si>
  <si>
    <t>Emanuele, Jill</t>
  </si>
  <si>
    <t>SCP - General Core</t>
  </si>
  <si>
    <t>Enenbach, Michael</t>
  </si>
  <si>
    <t>Esperanza, Pamelynn</t>
  </si>
  <si>
    <t>Ferrigno, Matthew A.</t>
  </si>
  <si>
    <t>LRO - L. Roberts - Ellen Wiesenthal Teacher Initiative</t>
  </si>
  <si>
    <t>LRO1001</t>
  </si>
  <si>
    <t>Friedlander, David</t>
  </si>
  <si>
    <t>Ganz, Rachel Emily</t>
  </si>
  <si>
    <t>MET MetLife Family Resource Center 2023</t>
  </si>
  <si>
    <t>MET1001</t>
  </si>
  <si>
    <t>MSF - Morgan Stanley Fdn - Digital Parenting Resource Grant</t>
  </si>
  <si>
    <t>MSF1001</t>
  </si>
  <si>
    <t>Greenspan, Amanda N</t>
  </si>
  <si>
    <t>Guterman, Leah</t>
  </si>
  <si>
    <t>MSF - Morgan Stanley Fdn Re-Emergence Initiative</t>
  </si>
  <si>
    <t>MSF1004</t>
  </si>
  <si>
    <t>Hamel, Jessica</t>
  </si>
  <si>
    <t>MSF1005</t>
  </si>
  <si>
    <t>Jeffay, Melissa Lauren</t>
  </si>
  <si>
    <t>NIH - Columbia Univ. - Predicting Heterogeneous - NIMH</t>
  </si>
  <si>
    <t>NIH1001</t>
  </si>
  <si>
    <t>Keough, Kathryn Lyon</t>
  </si>
  <si>
    <t>NIH - Signatures - NIMH</t>
  </si>
  <si>
    <t>NIH1002</t>
  </si>
  <si>
    <t>Kirsch, Sydney Leigh</t>
  </si>
  <si>
    <t>Koplewicz, Harold S.</t>
  </si>
  <si>
    <t>NIH - NKI - Defining Neuronal Circuits NIMH (Subward)</t>
  </si>
  <si>
    <t>NIH1004</t>
  </si>
  <si>
    <t>Kuryluk, Amanda Dianne</t>
  </si>
  <si>
    <t>NIH - CPAC R24MH114806</t>
  </si>
  <si>
    <t>NIH1005</t>
  </si>
  <si>
    <t>Ladell, Samantha</t>
  </si>
  <si>
    <t>NIH - Neurobiology/Dynamics - NIMH (Conte -sub with NKI)</t>
  </si>
  <si>
    <t>NIH1007</t>
  </si>
  <si>
    <t>Strategic Planning</t>
  </si>
  <si>
    <t>Lee, Hyein</t>
  </si>
  <si>
    <t>NIH - Univ. of Connecticut - Optimal Outcomes - NIMH</t>
  </si>
  <si>
    <t>NIH1009</t>
  </si>
  <si>
    <t>NIH - Univ. of Penn - Reproducible Imaging-Based - NIMH</t>
  </si>
  <si>
    <t>NIH1010</t>
  </si>
  <si>
    <t>Levine, Alexandra Nussbaum</t>
  </si>
  <si>
    <t>NIH - Univ. of Minnesota - Open Software - NIMH</t>
  </si>
  <si>
    <t>NIH1012</t>
  </si>
  <si>
    <t>Liu, Qiuyuan</t>
  </si>
  <si>
    <t>NIH - Univ. of Connecticut - GraphoLearn - NICHD</t>
  </si>
  <si>
    <t>NIH1014</t>
  </si>
  <si>
    <t>NIH - Brain Network Supplement - NIMH/NIDA contract</t>
  </si>
  <si>
    <t>NIH1015</t>
  </si>
  <si>
    <t>Louie-Tanaka, Jennifer Y</t>
  </si>
  <si>
    <t>NIH - UCSD Brain Initiative -FY21</t>
  </si>
  <si>
    <t>NIH1016</t>
  </si>
  <si>
    <t>NIH - BRAIN - NIMH</t>
  </si>
  <si>
    <t>NIH1017</t>
  </si>
  <si>
    <t>NIH - NKI Rockland Sample - NIMH</t>
  </si>
  <si>
    <t>NIH1018</t>
  </si>
  <si>
    <t>Malick, Samantha Ahern</t>
  </si>
  <si>
    <t>NIH - Matter Lab - NIMH Contract</t>
  </si>
  <si>
    <t>NIH1019</t>
  </si>
  <si>
    <t>Martin, Cynthia N</t>
  </si>
  <si>
    <t>NIH - Environmental Light - NIMH Contract</t>
  </si>
  <si>
    <t>NIH1020</t>
  </si>
  <si>
    <t>Martinez, Alnardo</t>
  </si>
  <si>
    <t>NIH Stanford NIPreps - NIMH</t>
  </si>
  <si>
    <t>NIH1021</t>
  </si>
  <si>
    <t>Mendel, Caroline Axelrod</t>
  </si>
  <si>
    <t>NIH Univ of Minnesota ABCD Project - NIMH</t>
  </si>
  <si>
    <t>NIH1022</t>
  </si>
  <si>
    <t>Milham, Michael</t>
  </si>
  <si>
    <t>NIH NERI PHN/CHILDS-DS Project NHLB</t>
  </si>
  <si>
    <t>NIH1023</t>
  </si>
  <si>
    <t>NIH MiResource STTR - NIMH</t>
  </si>
  <si>
    <t>NIH1024</t>
  </si>
  <si>
    <t>Mitrani, Paul A</t>
  </si>
  <si>
    <t>NIH Kiar RF1 NIMH</t>
  </si>
  <si>
    <t>NIH1025</t>
  </si>
  <si>
    <t>NIH Columbia Univ. Neurodev. Admin. Supplement NIMH</t>
  </si>
  <si>
    <t>NIH1026</t>
  </si>
  <si>
    <t>NIH Brain Network Supplement Extension NIMH Contract 2022</t>
  </si>
  <si>
    <t>NIH1027</t>
  </si>
  <si>
    <t>Musoff, Jodi L.</t>
  </si>
  <si>
    <t>OAK - Oak Foundation - Research - Oct 2022</t>
  </si>
  <si>
    <t>OAK1001 - A</t>
  </si>
  <si>
    <t>Nunan-Saah, Julia</t>
  </si>
  <si>
    <t>OAK - Oak Foundation - MarComms - Oct 2022</t>
  </si>
  <si>
    <t>OAK1001 - B</t>
  </si>
  <si>
    <t>O'Callaghan, Vanessa P.</t>
  </si>
  <si>
    <t>Omansky, Helene Michelle</t>
  </si>
  <si>
    <t>Pascarelli, Andrea</t>
  </si>
  <si>
    <t>Phillips, Laura</t>
  </si>
  <si>
    <t>The Roberts Foundation</t>
  </si>
  <si>
    <t>RFN1002</t>
  </si>
  <si>
    <t>Ruggiero, Stephanie</t>
  </si>
  <si>
    <t>RHF - Robin Hood Foundation Grant to support SCP NYC learning</t>
  </si>
  <si>
    <t>RHF1004</t>
  </si>
  <si>
    <t>RHF - Robin Hood Foundation – SCP 2023</t>
  </si>
  <si>
    <t>RHF1005</t>
  </si>
  <si>
    <t>Schuster, Kenneth</t>
  </si>
  <si>
    <t>RJH - Ross Jaffe Household - Project UROK</t>
  </si>
  <si>
    <t>RJH1001</t>
  </si>
  <si>
    <t>Schwartz, Stephanie L</t>
  </si>
  <si>
    <t>SCH - Schwab Foundation</t>
  </si>
  <si>
    <t>SCH1001</t>
  </si>
  <si>
    <t>Stern, Joanna</t>
  </si>
  <si>
    <t>Taskiran, Ali Sarper</t>
  </si>
  <si>
    <t>Telesford, Alana E.</t>
  </si>
  <si>
    <t>Salesforce</t>
  </si>
  <si>
    <t>SLF1001</t>
  </si>
  <si>
    <t>SNF - Stavros Niarchos Fdn - Training in Greece Children's Mental</t>
  </si>
  <si>
    <t>SNF1002</t>
  </si>
  <si>
    <t>Wagner, Amanda Elizabeth</t>
  </si>
  <si>
    <t>SNF -CMI Global Center - Initiative 1</t>
  </si>
  <si>
    <t>SNF1004 - 1</t>
  </si>
  <si>
    <t>Weder, Natalie</t>
  </si>
  <si>
    <t>SNF -CMI Global Center - Initiative 2</t>
  </si>
  <si>
    <t>SNF1004 - 2</t>
  </si>
  <si>
    <t>Werley, Carey</t>
  </si>
  <si>
    <t>SNF -CMI Global Center - Initiative 3</t>
  </si>
  <si>
    <t>SNF1004 - 3</t>
  </si>
  <si>
    <t>Wheeler, Heidi Miriam</t>
  </si>
  <si>
    <t>SNF -CMI Global Center - Initiative 4</t>
  </si>
  <si>
    <t>SNF1004 - 4</t>
  </si>
  <si>
    <t>Whitehouse, Sandra Louise</t>
  </si>
  <si>
    <t>SNF -CMI Global Center - Initiative 5</t>
  </si>
  <si>
    <t>SNF1004 - 5</t>
  </si>
  <si>
    <t>Woodward, Emma</t>
  </si>
  <si>
    <t>SNF -CMI Global Center - Initiative 6</t>
  </si>
  <si>
    <t>SNF1004 - 6</t>
  </si>
  <si>
    <t>Zamora, Adam</t>
  </si>
  <si>
    <t>SNF -CMI Global Center - Coordinating Center</t>
  </si>
  <si>
    <t>SNF1004 - A</t>
  </si>
  <si>
    <t>Zoloth, Emma</t>
  </si>
  <si>
    <t>SNF -CMI Global Center - Operating Center</t>
  </si>
  <si>
    <t>SNF1004 - B</t>
  </si>
  <si>
    <t>SNF – Stavros Niarchos Fdn – SCP Challenge Grant 2023</t>
  </si>
  <si>
    <t>SNF1005</t>
  </si>
  <si>
    <t>ZUC - Zuckerman Institute (Columbia) - FY21</t>
  </si>
  <si>
    <t>ZUC1001</t>
  </si>
  <si>
    <t xml:space="preserve"> CHILD MIND INSTITUTE / CHILD MIND MEDICAL PRACTICE NY / CHILD MIND MEDICAL PRACTICE CA - EXPENSE REIMBURSEMENT FORM</t>
  </si>
  <si>
    <t>Clinical Administration</t>
  </si>
  <si>
    <t>Research - Training and Career Dev Inits</t>
  </si>
  <si>
    <t>MarComms - Education</t>
  </si>
  <si>
    <t>MarComms - Communications</t>
  </si>
  <si>
    <t>Research - Admin, Operations, Sp Projcts</t>
  </si>
  <si>
    <t>SCP - Direct Service - NY</t>
  </si>
  <si>
    <t>SCP - Direct Service - CA</t>
  </si>
  <si>
    <t>SCP - Professional Training - NY</t>
  </si>
  <si>
    <t>SCP - Professional Training - CA</t>
  </si>
  <si>
    <t>Books and Periodical Subscriptions</t>
  </si>
  <si>
    <t>Business Registration Fees</t>
  </si>
  <si>
    <t>C&amp;C - Alcohol</t>
  </si>
  <si>
    <t>C&amp;C - Audio Visual Rental</t>
  </si>
  <si>
    <t>C&amp;C - Catering</t>
  </si>
  <si>
    <t>C&amp;C - Conference Registration Fees Domestic</t>
  </si>
  <si>
    <t>C&amp;C - Conference Registration Fees Foreign</t>
  </si>
  <si>
    <t>C&amp;C - Entertainment</t>
  </si>
  <si>
    <t>C&amp;C - Furniture and Equipment Rental</t>
  </si>
  <si>
    <t>C&amp;C - Materials</t>
  </si>
  <si>
    <t>C&amp;C - Other</t>
  </si>
  <si>
    <t>C&amp;C - Venue Costs</t>
  </si>
  <si>
    <t>Cards, Gifts and Flowers</t>
  </si>
  <si>
    <t>Employee Lounge and Pantry Supplies</t>
  </si>
  <si>
    <t>Employee Training</t>
  </si>
  <si>
    <t>Hardware - End User</t>
  </si>
  <si>
    <t>Hardware - Network Infrastructure</t>
  </si>
  <si>
    <t>Hardware - User Licenses</t>
  </si>
  <si>
    <t>Hosted Services - Application/ Software</t>
  </si>
  <si>
    <t>Hosted Services - Compute/Storage services</t>
  </si>
  <si>
    <t>Hosted Services - Other</t>
  </si>
  <si>
    <t>Hosted Services - User Licenses</t>
  </si>
  <si>
    <t>Internet &amp; Wi-Fi</t>
  </si>
  <si>
    <t>Lab and Instructional Supplies</t>
  </si>
  <si>
    <t>Office Equipment Rental</t>
  </si>
  <si>
    <t>Office Supplies</t>
  </si>
  <si>
    <t>Other Insurance</t>
  </si>
  <si>
    <t>Other Office Expense</t>
  </si>
  <si>
    <t>Participant Payments &amp; Reimbursements</t>
  </si>
  <si>
    <t>Postage, Shipping and Mailing Service</t>
  </si>
  <si>
    <t>Printing and Copying</t>
  </si>
  <si>
    <t>Professional Liability Insurance</t>
  </si>
  <si>
    <t>Professional Memberships and Organization Dues</t>
  </si>
  <si>
    <t>Program Supplies</t>
  </si>
  <si>
    <t>Publications, Books, Licenses</t>
  </si>
  <si>
    <t>Relocation Expenses</t>
  </si>
  <si>
    <t>SE - Audio Visual Rental</t>
  </si>
  <si>
    <t>SE - Catering</t>
  </si>
  <si>
    <t>SE - Entertainment</t>
  </si>
  <si>
    <t>SE - Event Consultants</t>
  </si>
  <si>
    <t>SE - Furniture and Equipment Rental</t>
  </si>
  <si>
    <t>SE - Materials</t>
  </si>
  <si>
    <t>SE - Other</t>
  </si>
  <si>
    <t>SE - Venue Costs</t>
  </si>
  <si>
    <t>Staff Lunches</t>
  </si>
  <si>
    <t>Staff Parties and Outings</t>
  </si>
  <si>
    <t>Telephone &amp; Cellular</t>
  </si>
  <si>
    <t>TM&amp;E Entertainment - Domestic</t>
  </si>
  <si>
    <t>TM&amp;E Entertainment - Foreign</t>
  </si>
  <si>
    <t>TM&amp;E Entertainment - Local</t>
  </si>
  <si>
    <t>TM&amp;E Lodging - Domestic</t>
  </si>
  <si>
    <t>TM&amp;E Lodging - Foreign</t>
  </si>
  <si>
    <t>TM&amp;E Lodging - Local</t>
  </si>
  <si>
    <t>TM&amp;E Meals - Domestic</t>
  </si>
  <si>
    <t>TM&amp;E Meals - Foreign</t>
  </si>
  <si>
    <t>TM&amp;E Meals - Local</t>
  </si>
  <si>
    <t>TM&amp;E Other - Domestic</t>
  </si>
  <si>
    <t>TM&amp;E Other - Foreign</t>
  </si>
  <si>
    <t>TM&amp;E Other - Local</t>
  </si>
  <si>
    <t>TM&amp;E Transportation - Domestic</t>
  </si>
  <si>
    <t>TM&amp;E Transportation - Foreign</t>
  </si>
  <si>
    <t>TM&amp;E Transportation - Local</t>
  </si>
  <si>
    <t>US Visa Application</t>
  </si>
  <si>
    <t>Virtual Conferencing</t>
  </si>
  <si>
    <t>4009</t>
  </si>
  <si>
    <t>4010</t>
  </si>
  <si>
    <t>4008</t>
  </si>
  <si>
    <t>2104</t>
  </si>
  <si>
    <t>4011</t>
  </si>
  <si>
    <t>MV01</t>
  </si>
  <si>
    <t>MV60</t>
  </si>
  <si>
    <t>4012</t>
  </si>
  <si>
    <t>2224</t>
  </si>
  <si>
    <t>2512</t>
  </si>
  <si>
    <t>2526</t>
  </si>
  <si>
    <t>4013</t>
  </si>
  <si>
    <t>4014</t>
  </si>
  <si>
    <t>4015</t>
  </si>
  <si>
    <t>4017</t>
  </si>
  <si>
    <t>4016</t>
  </si>
  <si>
    <t>2244</t>
  </si>
  <si>
    <t>4018</t>
  </si>
  <si>
    <t>4020</t>
  </si>
  <si>
    <t>4019</t>
  </si>
  <si>
    <t>4021</t>
  </si>
  <si>
    <t>4022</t>
  </si>
  <si>
    <t>4023</t>
  </si>
  <si>
    <t>4024</t>
  </si>
  <si>
    <t>4025</t>
  </si>
  <si>
    <t>4026</t>
  </si>
  <si>
    <t>4027</t>
  </si>
  <si>
    <t>4028</t>
  </si>
  <si>
    <t>4029</t>
  </si>
  <si>
    <t>4030</t>
  </si>
  <si>
    <t>SCP – MHSB Training</t>
  </si>
  <si>
    <t>SCP – Translation (Written Materials)</t>
  </si>
  <si>
    <t>SCP – BSI Training</t>
  </si>
  <si>
    <t>SCP – Behavior Service</t>
  </si>
  <si>
    <t>SCP – DBT-GS Training</t>
  </si>
  <si>
    <t>SCP – MHSB-Direct Service</t>
  </si>
  <si>
    <t>SCP – Mood Service</t>
  </si>
  <si>
    <t>SCP – Online Training Platform</t>
  </si>
  <si>
    <t>SCP – Reading Service</t>
  </si>
  <si>
    <t>SCP – TTGS Training</t>
  </si>
  <si>
    <t>SCP – Translation (Phone)</t>
  </si>
  <si>
    <t>SCP – Trauma Service</t>
  </si>
  <si>
    <t>SCP – Video Production (Professional Training)</t>
  </si>
  <si>
    <t>5013</t>
  </si>
  <si>
    <t>5002</t>
  </si>
  <si>
    <t>5008</t>
  </si>
  <si>
    <t>5004</t>
  </si>
  <si>
    <t>5009</t>
  </si>
  <si>
    <t>5007</t>
  </si>
  <si>
    <t>5005</t>
  </si>
  <si>
    <t>5012</t>
  </si>
  <si>
    <t>5006</t>
  </si>
  <si>
    <t>5001</t>
  </si>
  <si>
    <t>5010</t>
  </si>
  <si>
    <t>5003</t>
  </si>
  <si>
    <t>5011</t>
  </si>
  <si>
    <t>4041</t>
  </si>
  <si>
    <t>4031</t>
  </si>
  <si>
    <t>4036</t>
  </si>
  <si>
    <t>4037</t>
  </si>
  <si>
    <t>4038</t>
  </si>
  <si>
    <t>4039</t>
  </si>
  <si>
    <t>4040</t>
  </si>
  <si>
    <t>4042</t>
  </si>
  <si>
    <t>2264</t>
  </si>
  <si>
    <t>4043</t>
  </si>
  <si>
    <t>4044</t>
  </si>
  <si>
    <t>4045</t>
  </si>
  <si>
    <t>Wellness (HR)</t>
  </si>
  <si>
    <t>1055</t>
  </si>
  <si>
    <t>4046</t>
  </si>
  <si>
    <t>MV51</t>
  </si>
  <si>
    <t>MV21</t>
  </si>
  <si>
    <t>MV20</t>
  </si>
  <si>
    <t>MV02</t>
  </si>
  <si>
    <t>MV03</t>
  </si>
  <si>
    <t>MV40</t>
  </si>
  <si>
    <t>MV04</t>
  </si>
  <si>
    <t>MV22</t>
  </si>
  <si>
    <t>MV90</t>
  </si>
  <si>
    <t>MV52</t>
  </si>
  <si>
    <t>MV50</t>
  </si>
  <si>
    <t>MV05</t>
  </si>
  <si>
    <t>MV06</t>
  </si>
  <si>
    <t>Bancroft, Alexis Branca</t>
  </si>
  <si>
    <t>Benson, William W.</t>
  </si>
  <si>
    <t>Burgos, Ramon Luis</t>
  </si>
  <si>
    <t>Espejo, Karol B.</t>
  </si>
  <si>
    <t>Gudino, Omar Gabriel</t>
  </si>
  <si>
    <t>Guttentag, Sara</t>
  </si>
  <si>
    <t>Heyman, Michelle Rose</t>
  </si>
  <si>
    <t>Ho, Jennifer</t>
  </si>
  <si>
    <t>Hwang, Jacqueline</t>
  </si>
  <si>
    <t>Janze, Jessica F.</t>
  </si>
  <si>
    <t>Litvinov, Larisa</t>
  </si>
  <si>
    <t>Samuels, Kayla Rose</t>
  </si>
  <si>
    <t>Sarte, Jason Christopher</t>
  </si>
  <si>
    <t>Shuldiner,  Marc Eben</t>
  </si>
  <si>
    <t>Thirkield, Michelle L</t>
  </si>
  <si>
    <t>Toso Salman, Josefina Marcela</t>
  </si>
  <si>
    <t>Weiner, E Emilie</t>
  </si>
  <si>
    <t>Wolf, Kristen Elizabeth</t>
  </si>
  <si>
    <t>Wong, Jane Y. T.</t>
  </si>
  <si>
    <t>Wyetzner, John Di Toro</t>
  </si>
  <si>
    <t>ASF - Wong Undergraduate Grant 2023</t>
  </si>
  <si>
    <t>ASF1001</t>
  </si>
  <si>
    <t>Google Kids and Family Project</t>
  </si>
  <si>
    <t>GGL1003</t>
  </si>
  <si>
    <t>Google Webinar Grant</t>
  </si>
  <si>
    <t>GGL1002</t>
  </si>
  <si>
    <t>Kenrose Kitchen Table Training Expansion 1/1/24-12/31/24</t>
  </si>
  <si>
    <t>KEN1004</t>
  </si>
  <si>
    <t>Kenrose Kitchen Table Training Expansion 12/1/22-12/1/23</t>
  </si>
  <si>
    <t>KEN1003</t>
  </si>
  <si>
    <t>Macy's SCP Grant - West Coast July 2024</t>
  </si>
  <si>
    <t>MCY1001</t>
  </si>
  <si>
    <t>MSF - Morgan Stanley Fdn - DEI Grant 2022</t>
  </si>
  <si>
    <t>MSF1006</t>
  </si>
  <si>
    <t>MSF - Morgan Stanley Fdn - Problematic Internet Use Study II 2022</t>
  </si>
  <si>
    <t>MSF - Morgan Stanley Fdn - Steve Fund Lit. Review 2024</t>
  </si>
  <si>
    <t>MSF1007</t>
  </si>
  <si>
    <t>Morbid Podcast</t>
  </si>
  <si>
    <t>MBD1001</t>
  </si>
  <si>
    <t>NIH - CUNY Super Storm Sandy - NIMH</t>
  </si>
  <si>
    <t>NIH1031</t>
  </si>
  <si>
    <t>NIH - Columbia Philani Subaward - NIMH</t>
  </si>
  <si>
    <t>NIH1032</t>
  </si>
  <si>
    <t>NIH - MATTER Lab - KSADS (DASH) NIMH Contract 2019</t>
  </si>
  <si>
    <t>NIH1029</t>
  </si>
  <si>
    <t>NIH - Mega-analysis framework - NIMH</t>
  </si>
  <si>
    <t>NIH1028</t>
  </si>
  <si>
    <t>NIH - NKI Conte Renewal - NIMH</t>
  </si>
  <si>
    <t>NIH1030</t>
  </si>
  <si>
    <t>Ohio Pre-K HMTK</t>
  </si>
  <si>
    <t>OHS1001</t>
  </si>
  <si>
    <t>Wellness Classroom 2023</t>
  </si>
  <si>
    <t>WEL1001</t>
  </si>
  <si>
    <t>Research - Healthy Brain Network (HBN) / NGDT</t>
  </si>
  <si>
    <t>SCP - Project UROK</t>
  </si>
  <si>
    <t>Research - Strategic Data Initiatives</t>
  </si>
  <si>
    <t>Research - Center for Product Development</t>
  </si>
  <si>
    <t>Research - Center for Integrative Dev Neuroscience</t>
  </si>
  <si>
    <t>Research - Center for Data Analytics, Innov, Rigor</t>
  </si>
  <si>
    <t>Research - Autism Research Center</t>
  </si>
  <si>
    <t>President's Office</t>
  </si>
  <si>
    <t>Moving Expenses - Architect</t>
  </si>
  <si>
    <t>Moving Expenses - Art</t>
  </si>
  <si>
    <t>Moving Expenses - Branding/Signs</t>
  </si>
  <si>
    <t>Moving Expenses - Construction</t>
  </si>
  <si>
    <t>Moving Expenses - Demolition</t>
  </si>
  <si>
    <t>Moving Expenses - Engineer</t>
  </si>
  <si>
    <t>Moving Expenses - Expeditor, Inspections, Filings</t>
  </si>
  <si>
    <t>Moving Expenses - Furniture &amp; Fixtures</t>
  </si>
  <si>
    <t>Moving Expenses - IT/AV/Lighting/Security Consultants</t>
  </si>
  <si>
    <t>Moving Expenses - IT/AV/Security Hard Costs</t>
  </si>
  <si>
    <t>Moving Expenses - Landlord Incentives</t>
  </si>
  <si>
    <t>Moving Expenses - Legal Move</t>
  </si>
  <si>
    <t>Moving Expenses - Movers</t>
  </si>
  <si>
    <t>Moving Expenses - Other and Reimbursables</t>
  </si>
  <si>
    <t>Moving Expenses - Project Manager</t>
  </si>
  <si>
    <t>DOE NYC City Council DOE 2024 School Year</t>
  </si>
  <si>
    <t>On Premise - Application/Software</t>
  </si>
  <si>
    <t>Hardware - Server Equipment &amp; Supplies</t>
  </si>
  <si>
    <t>Hardware - End User Desktop</t>
  </si>
  <si>
    <t>Clinical - Academic Remediation</t>
  </si>
  <si>
    <t>Clinical - ADHD Eval &amp; Treatment</t>
  </si>
  <si>
    <t>Clinical - AFFIRM</t>
  </si>
  <si>
    <t>Clinical - Anxiety Disorders Eval &amp; Treatment</t>
  </si>
  <si>
    <t>Clinical - Autism Center Eval &amp; Treatment</t>
  </si>
  <si>
    <t>Clinical - Behavioral and Emotional Skills Training (BEST)</t>
  </si>
  <si>
    <t>Clinical - Brave Buddies</t>
  </si>
  <si>
    <t>Clinical - Children's Friendship Training</t>
  </si>
  <si>
    <t>Clinical - College Readiness</t>
  </si>
  <si>
    <t>Clinical - College Success</t>
  </si>
  <si>
    <t>Clinical - DBT</t>
  </si>
  <si>
    <t>Clinical - DBT-C</t>
  </si>
  <si>
    <t>Clinical - Educational Consultation</t>
  </si>
  <si>
    <t>Clinical - EF Organizational Skills / STAND</t>
  </si>
  <si>
    <t>Clinical - High School Success</t>
  </si>
  <si>
    <t>Clinical - Learning and Devlopment Eval &amp; Treatment</t>
  </si>
  <si>
    <t>Clinical - LGBTQ Eval &amp; Treatment</t>
  </si>
  <si>
    <t>Clinical - Medication Management</t>
  </si>
  <si>
    <t>Clinical - Mood Disorders Eval &amp; Treatment</t>
  </si>
  <si>
    <t>Clinical - Mood Masters</t>
  </si>
  <si>
    <t>Clinical - Multi Family</t>
  </si>
  <si>
    <t>Clinical - OCD Intensive</t>
  </si>
  <si>
    <t>Clinical - PACT</t>
  </si>
  <si>
    <t>Clinical - Parent-Child Interaction Therapy Training</t>
  </si>
  <si>
    <t>Clinical - PC Care</t>
  </si>
  <si>
    <t>Clinical - PEERS</t>
  </si>
  <si>
    <t>Clinical - Psychopharm Eval &amp; Treatment</t>
  </si>
  <si>
    <t>Clinical - RO-DBT</t>
  </si>
  <si>
    <t>Clinical - School Placement</t>
  </si>
  <si>
    <t>Clinical - Second Opinion Evaluation</t>
  </si>
  <si>
    <t>Clinical - Selective Mutism</t>
  </si>
  <si>
    <t>Clinical - Social Anxiety</t>
  </si>
  <si>
    <t>Clinical - Social Skills</t>
  </si>
  <si>
    <t>Clinical - Social Thinking Group</t>
  </si>
  <si>
    <t>Clinical - SPACE</t>
  </si>
  <si>
    <t>Clinical - Speech and Language</t>
  </si>
  <si>
    <t>Clinical - Summer Program</t>
  </si>
  <si>
    <t>Clinical - Tics and Trichotillomania</t>
  </si>
  <si>
    <t>Clinical - Trauma and Resilience Service</t>
  </si>
  <si>
    <t>Clinical - Unified Protocol</t>
  </si>
  <si>
    <t>Clinical - Visiting Professor</t>
  </si>
  <si>
    <t>Clinical - Young Adult</t>
  </si>
  <si>
    <t>Clinical Centers - ADHD Clinical Center</t>
  </si>
  <si>
    <t>Clinical Centers - Anxiety Clinical Center</t>
  </si>
  <si>
    <t>Clinical Centers - Autism Clinical Center</t>
  </si>
  <si>
    <t>Clinical Centers - LDC Clinical Center</t>
  </si>
  <si>
    <t>Clinical Centers - PsyPharm Clinical Center</t>
  </si>
  <si>
    <t>Clinical Centers - Mood Clinical Center</t>
  </si>
  <si>
    <t>Fort Health (Telehealth)</t>
  </si>
  <si>
    <t>MarComms - Branded Resource Packages (clinical/dev outreach)</t>
  </si>
  <si>
    <t>MarComms - Clinician Videos x30 - 45</t>
  </si>
  <si>
    <t>MarComms - Clinician/Patient Photography</t>
  </si>
  <si>
    <t>MarComms - CMI Weekly Newsletter (x50)</t>
  </si>
  <si>
    <t>MarComms - CMI/HSK Origin Video</t>
  </si>
  <si>
    <t>MarComms - Digital Asset Management System</t>
  </si>
  <si>
    <t>MarComms - Global Citizen Now Event</t>
  </si>
  <si>
    <t>MarComms - HSCM List Cost</t>
  </si>
  <si>
    <t>MarComms - NY Clinician School Talks x120</t>
  </si>
  <si>
    <t>MarComms - Patient Story/Testimonial Videos</t>
  </si>
  <si>
    <t>MarComms - PR Activity - California (Donna Glass)</t>
  </si>
  <si>
    <t>MarComms - PR Activity (Sunshine Sachs)</t>
  </si>
  <si>
    <t>MarComms - Project YouTube</t>
  </si>
  <si>
    <t>MarComms - Science Story Videos: 4 Teams + HBN (x5)</t>
  </si>
  <si>
    <t>MarComms - Social Media Posts and Facebook Like Campaign</t>
  </si>
  <si>
    <t>MarComms - Web Dev and SEO (Lucid Circus)</t>
  </si>
  <si>
    <t>MarComms - Children Mental's Health Report</t>
  </si>
  <si>
    <t>MarComms - Collateral (Biz Cards, Profile Photo, etc.)</t>
  </si>
  <si>
    <t>MarComms - Editorial Freelance Writing</t>
  </si>
  <si>
    <t>MarComms - HSK Talks and Presentations (x12)</t>
  </si>
  <si>
    <t>MarComms - Mental Health Month (May) Campaign</t>
  </si>
  <si>
    <t>MarComms - Misc. Research Projects (Ipsos, etc.)</t>
  </si>
  <si>
    <t>MarComms - Morgan Stanley Writing</t>
  </si>
  <si>
    <t>MarComms - Parent Journeys (Anxiety, ADHD, MDD)</t>
  </si>
  <si>
    <t>MarComms - Produce Business Development Materials</t>
  </si>
  <si>
    <t>MarComms - PSA Distribution</t>
  </si>
  <si>
    <t>MarComms - Spanish Freelance Translation/Editing budget</t>
  </si>
  <si>
    <t>MarComms - Year End Fundraising Campaign</t>
  </si>
  <si>
    <t>Research - Distinguished Scientific Symposium</t>
  </si>
  <si>
    <t>Research - On the Shoulders of Giants</t>
  </si>
  <si>
    <t>Research - Organization for Human Brain Mapping (OHBM)</t>
  </si>
  <si>
    <t>Research - Rising Scientists Awards</t>
  </si>
  <si>
    <t>Research - Scientific Research Council</t>
  </si>
  <si>
    <t>Research - Summer Internship Program</t>
  </si>
  <si>
    <t>Research - Summer SRC Retreat</t>
  </si>
  <si>
    <t>Fundraising - Cultivation Events</t>
  </si>
  <si>
    <t>Fundraising - Annual Benefit 2023</t>
  </si>
  <si>
    <t>Fundraising - Annual Benefit 2024</t>
  </si>
  <si>
    <t>Fundraising - Bay Area Golf Tournament 2023</t>
  </si>
  <si>
    <t>Fundraising - Bay Area Golf Tournament 2024</t>
  </si>
  <si>
    <t>Fundraising - Fall Luncheon Event 2023</t>
  </si>
  <si>
    <t>Fundraising - Fall Luncheon Event 2024</t>
  </si>
  <si>
    <t>Fundraising - Spring Luncheon Event 2023</t>
  </si>
  <si>
    <t>Fundraising - Spring Luncheon Event 2024</t>
  </si>
  <si>
    <t>Fundraising - Annual Report</t>
  </si>
  <si>
    <t>Fundraising - Case for Support</t>
  </si>
  <si>
    <t>NAME OF APPROVER</t>
  </si>
  <si>
    <t>SIGNATURE OF APPROVER</t>
  </si>
  <si>
    <t>NIH1033</t>
  </si>
  <si>
    <t>NIH - CRCNS - NIMH</t>
  </si>
  <si>
    <t>Intacct ID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</si>
</sst>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_([$$-409]* #,##0.00_);_([$$-409]* \(#,##0.00\);_([$$-409]* &quot;-&quot;??_);_(@_)"/>
    <numFmt numFmtId="166" formatCode="[$R$-416]\ #,##0.00"/>
    <numFmt numFmtId="167" formatCode="yyyy\-mm\-dd;@"/>
  </numFmts>
  <fonts count="53" x14ac:knownFonts="1">
    <font>
      <sz val="11"/>
      <color theme="1"/>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8"/>
      <name val="Verdana"/>
      <family val="2"/>
    </font>
    <font>
      <b/>
      <sz val="11"/>
      <color indexed="8"/>
      <name val="Calibri"/>
      <family val="2"/>
    </font>
    <font>
      <b/>
      <sz val="14"/>
      <color indexed="8"/>
      <name val="Calibri"/>
      <family val="2"/>
    </font>
    <font>
      <sz val="10"/>
      <color indexed="8"/>
      <name val="Calibri"/>
      <family val="2"/>
    </font>
    <font>
      <b/>
      <sz val="10"/>
      <color indexed="8"/>
      <name val="Calibri"/>
      <family val="2"/>
    </font>
    <font>
      <u/>
      <sz val="11"/>
      <color theme="10"/>
      <name val="Calibri"/>
      <family val="2"/>
      <scheme val="minor"/>
    </font>
    <font>
      <u/>
      <sz val="11"/>
      <color theme="11"/>
      <name val="Calibri"/>
      <family val="2"/>
      <scheme val="minor"/>
    </font>
    <font>
      <b/>
      <sz val="11"/>
      <color theme="1"/>
      <name val="Calibri"/>
      <family val="2"/>
      <scheme val="minor"/>
    </font>
    <font>
      <b/>
      <u/>
      <sz val="10"/>
      <color theme="1"/>
      <name val="Calibri"/>
      <family val="2"/>
      <scheme val="minor"/>
    </font>
    <font>
      <sz val="12"/>
      <color theme="1"/>
      <name val="Calibri"/>
      <family val="2"/>
      <scheme val="minor"/>
    </font>
    <font>
      <b/>
      <i/>
      <sz val="9"/>
      <color theme="1"/>
      <name val="Calibri"/>
      <family val="2"/>
      <scheme val="minor"/>
    </font>
    <font>
      <b/>
      <sz val="9"/>
      <color theme="1"/>
      <name val="Calibri"/>
      <family val="2"/>
    </font>
    <font>
      <sz val="14"/>
      <color indexed="8"/>
      <name val="Calibri"/>
      <family val="2"/>
    </font>
    <font>
      <b/>
      <sz val="12"/>
      <color indexed="8"/>
      <name val="Calibri"/>
      <family val="2"/>
    </font>
    <font>
      <i/>
      <sz val="10"/>
      <color indexed="8"/>
      <name val="Calibri"/>
      <family val="2"/>
    </font>
    <font>
      <b/>
      <sz val="10"/>
      <color rgb="FF000000"/>
      <name val="Calibri"/>
      <family val="2"/>
      <scheme val="minor"/>
    </font>
    <font>
      <b/>
      <sz val="12"/>
      <color theme="1"/>
      <name val="Times New Roman"/>
      <family val="1"/>
    </font>
    <font>
      <sz val="10"/>
      <color theme="1"/>
      <name val="Times New Roman"/>
      <family val="1"/>
    </font>
    <font>
      <i/>
      <sz val="10"/>
      <color theme="1"/>
      <name val="Times New Roman"/>
      <family val="1"/>
    </font>
    <font>
      <b/>
      <sz val="10"/>
      <color theme="1"/>
      <name val="Times New Roman"/>
      <family val="1"/>
    </font>
    <font>
      <sz val="12"/>
      <color theme="1"/>
      <name val="Times New Roman"/>
      <family val="1"/>
    </font>
    <font>
      <sz val="12"/>
      <color theme="1"/>
      <name val="Symbol"/>
      <family val="1"/>
      <charset val="2"/>
    </font>
    <font>
      <sz val="7"/>
      <color theme="1"/>
      <name val="Times New Roman"/>
      <family val="1"/>
    </font>
    <font>
      <sz val="9"/>
      <color theme="1"/>
      <name val="Cambria"/>
      <family val="1"/>
    </font>
    <font>
      <i/>
      <sz val="12"/>
      <color theme="1"/>
      <name val="Times New Roman"/>
      <family val="1"/>
    </font>
    <font>
      <sz val="12"/>
      <color theme="1"/>
      <name val="Courier New"/>
      <family val="3"/>
    </font>
    <font>
      <sz val="12"/>
      <color theme="1"/>
      <name val="Calibri"/>
      <family val="2"/>
    </font>
    <font>
      <b/>
      <sz val="14"/>
      <color theme="1"/>
      <name val="Calibri"/>
      <family val="2"/>
    </font>
    <font>
      <i/>
      <sz val="12"/>
      <color theme="1"/>
      <name val="Calibri"/>
      <family val="2"/>
    </font>
    <font>
      <b/>
      <sz val="12"/>
      <color theme="1"/>
      <name val="Calibri"/>
      <family val="2"/>
    </font>
    <font>
      <b/>
      <sz val="13"/>
      <color rgb="FF4F81BD"/>
      <name val="Calibri"/>
      <family val="2"/>
      <scheme val="minor"/>
    </font>
    <font>
      <sz val="12"/>
      <color rgb="FF000000"/>
      <name val="Calibri"/>
      <family val="2"/>
    </font>
    <font>
      <b/>
      <sz val="13"/>
      <color rgb="FF4F81BD"/>
      <name val="Calibri"/>
      <family val="2"/>
    </font>
    <font>
      <i/>
      <sz val="12"/>
      <color rgb="FF000000"/>
      <name val="Calibri"/>
      <family val="2"/>
    </font>
    <font>
      <sz val="12"/>
      <color rgb="FF000000"/>
      <name val="Times New Roman"/>
      <family val="1"/>
    </font>
    <font>
      <sz val="12"/>
      <color rgb="FF000000"/>
      <name val="Symbol"/>
      <family val="1"/>
      <charset val="2"/>
    </font>
    <font>
      <sz val="7"/>
      <color rgb="FF000000"/>
      <name val="Times New Roman"/>
      <family val="1"/>
    </font>
    <font>
      <sz val="16"/>
      <color theme="1"/>
      <name val="Calibri"/>
      <family val="2"/>
      <scheme val="minor"/>
    </font>
    <font>
      <sz val="16"/>
      <name val="Calibri"/>
      <family val="2"/>
    </font>
    <font>
      <u val="singleAccounting"/>
      <sz val="16"/>
      <color theme="0"/>
      <name val="Calibri"/>
      <family val="2"/>
      <scheme val="minor"/>
    </font>
    <font>
      <u val="singleAccounting"/>
      <sz val="18"/>
      <color theme="0"/>
      <name val="Calibri"/>
      <family val="2"/>
      <scheme val="minor"/>
    </font>
    <font>
      <b/>
      <u val="singleAccounting"/>
      <sz val="12"/>
      <color theme="1"/>
      <name val="Calibri"/>
      <family val="2"/>
      <scheme val="minor"/>
    </font>
    <font>
      <sz val="16"/>
      <name val="Calibri"/>
      <family val="2"/>
      <scheme val="minor"/>
    </font>
    <font>
      <sz val="16"/>
      <color rgb="FF000000"/>
      <name val="Calibri"/>
      <family val="2"/>
      <scheme val="minor"/>
    </font>
    <font>
      <b/>
      <sz val="10"/>
      <name val="Calibri"/>
      <family val="2"/>
    </font>
    <font>
      <b/>
      <sz val="12"/>
      <color rgb="FF000000"/>
      <name val="Calibri"/>
      <family val="2"/>
    </font>
  </fonts>
  <fills count="14">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indexed="9"/>
        <bgColor indexed="64"/>
      </patternFill>
    </fill>
    <fill>
      <patternFill patternType="solid">
        <fgColor rgb="FFFFFFFF"/>
        <bgColor rgb="FF000000"/>
      </patternFill>
    </fill>
    <fill>
      <patternFill patternType="solid">
        <fgColor theme="6" tint="0.79998168889431442"/>
        <bgColor indexed="64"/>
      </patternFill>
    </fill>
    <fill>
      <patternFill patternType="solid">
        <fgColor theme="7" tint="0.39997558519241921"/>
        <bgColor indexed="64"/>
      </patternFill>
    </fill>
    <fill>
      <patternFill patternType="solid">
        <fgColor rgb="FF92D050"/>
        <bgColor theme="1"/>
      </patternFill>
    </fill>
    <fill>
      <patternFill patternType="solid">
        <fgColor theme="3" tint="0.59999389629810485"/>
        <bgColor theme="1"/>
      </patternFill>
    </fill>
    <fill>
      <patternFill patternType="solid">
        <fgColor theme="5" tint="0.39997558519241921"/>
        <bgColor theme="1"/>
      </patternFill>
    </fill>
    <fill>
      <patternFill patternType="solid">
        <fgColor rgb="FFDDD7C1"/>
        <bgColor indexed="64"/>
      </patternFill>
    </fill>
    <fill>
      <patternFill patternType="solid">
        <fgColor rgb="FFE9E8DF"/>
        <bgColor indexed="64"/>
      </patternFill>
    </fill>
    <fill>
      <patternFill patternType="solid">
        <fgColor rgb="FFFFFF00"/>
        <bgColor indexed="64"/>
      </patternFill>
    </fill>
  </fills>
  <borders count="10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bottom/>
      <diagonal/>
    </border>
    <border>
      <left style="medium">
        <color auto="1"/>
      </left>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medium">
        <color auto="1"/>
      </bottom>
      <diagonal/>
    </border>
    <border>
      <left/>
      <right style="thin">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thin">
        <color auto="1"/>
      </right>
      <top style="medium">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indexed="64"/>
      </right>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indexed="64"/>
      </right>
      <top style="medium">
        <color indexed="64"/>
      </top>
      <bottom/>
      <diagonal/>
    </border>
    <border>
      <left style="thin">
        <color theme="0"/>
      </left>
      <right style="thin">
        <color theme="0"/>
      </right>
      <top/>
      <bottom style="medium">
        <color auto="1"/>
      </bottom>
      <diagonal/>
    </border>
    <border>
      <left/>
      <right style="thin">
        <color theme="0"/>
      </right>
      <top style="thin">
        <color theme="0"/>
      </top>
      <bottom style="thin">
        <color theme="0"/>
      </bottom>
      <diagonal/>
    </border>
    <border>
      <left style="thin">
        <color theme="0"/>
      </left>
      <right/>
      <top style="medium">
        <color auto="1"/>
      </top>
      <bottom/>
      <diagonal/>
    </border>
    <border>
      <left style="thin">
        <color theme="0"/>
      </left>
      <right/>
      <top style="thick">
        <color theme="0"/>
      </top>
      <bottom/>
      <diagonal/>
    </border>
    <border>
      <left style="thin">
        <color theme="0"/>
      </left>
      <right style="medium">
        <color auto="1"/>
      </right>
      <top style="thick">
        <color theme="0"/>
      </top>
      <bottom/>
      <diagonal/>
    </border>
    <border>
      <left style="thin">
        <color theme="0"/>
      </left>
      <right style="medium">
        <color indexed="64"/>
      </right>
      <top style="medium">
        <color indexed="64"/>
      </top>
      <bottom/>
      <diagonal/>
    </border>
    <border>
      <left style="medium">
        <color auto="1"/>
      </left>
      <right/>
      <top style="thin">
        <color theme="0"/>
      </top>
      <bottom/>
      <diagonal/>
    </border>
    <border>
      <left style="thin">
        <color theme="0"/>
      </left>
      <right/>
      <top style="thin">
        <color theme="0"/>
      </top>
      <bottom/>
      <diagonal/>
    </border>
    <border>
      <left style="thin">
        <color theme="0"/>
      </left>
      <right/>
      <top style="thin">
        <color auto="1"/>
      </top>
      <bottom/>
      <diagonal/>
    </border>
    <border>
      <left style="thin">
        <color theme="0"/>
      </left>
      <right style="medium">
        <color auto="1"/>
      </right>
      <top style="thin">
        <color theme="0"/>
      </top>
      <bottom/>
      <diagonal/>
    </border>
    <border>
      <left style="thin">
        <color auto="1"/>
      </left>
      <right/>
      <top style="thin">
        <color theme="0"/>
      </top>
      <bottom style="thin">
        <color theme="0"/>
      </bottom>
      <diagonal/>
    </border>
    <border>
      <left/>
      <right/>
      <top style="thin">
        <color theme="0"/>
      </top>
      <bottom style="thin">
        <color theme="0"/>
      </bottom>
      <diagonal/>
    </border>
    <border>
      <left style="thin">
        <color auto="1"/>
      </left>
      <right/>
      <top style="thin">
        <color theme="0"/>
      </top>
      <bottom style="medium">
        <color auto="1"/>
      </bottom>
      <diagonal/>
    </border>
    <border>
      <left/>
      <right/>
      <top style="thin">
        <color theme="0"/>
      </top>
      <bottom style="medium">
        <color auto="1"/>
      </bottom>
      <diagonal/>
    </border>
    <border>
      <left/>
      <right style="thin">
        <color theme="0"/>
      </right>
      <top style="thin">
        <color theme="0"/>
      </top>
      <bottom style="medium">
        <color auto="1"/>
      </bottom>
      <diagonal/>
    </border>
    <border>
      <left style="medium">
        <color auto="1"/>
      </left>
      <right/>
      <top style="thin">
        <color theme="0"/>
      </top>
      <bottom style="medium">
        <color auto="1"/>
      </bottom>
      <diagonal/>
    </border>
    <border>
      <left style="thin">
        <color theme="0"/>
      </left>
      <right/>
      <top/>
      <bottom style="medium">
        <color auto="1"/>
      </bottom>
      <diagonal/>
    </border>
    <border>
      <left style="thin">
        <color auto="1"/>
      </left>
      <right/>
      <top style="medium">
        <color auto="1"/>
      </top>
      <bottom style="thin">
        <color theme="0"/>
      </bottom>
      <diagonal/>
    </border>
    <border>
      <left/>
      <right/>
      <top style="medium">
        <color auto="1"/>
      </top>
      <bottom style="thin">
        <color theme="0"/>
      </bottom>
      <diagonal/>
    </border>
    <border>
      <left/>
      <right style="thin">
        <color theme="0"/>
      </right>
      <top style="medium">
        <color auto="1"/>
      </top>
      <bottom style="thin">
        <color theme="0"/>
      </bottom>
      <diagonal/>
    </border>
  </borders>
  <cellStyleXfs count="25">
    <xf numFmtId="0" fontId="0" fillId="0" borderId="0"/>
    <xf numFmtId="44"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6" fillId="0" borderId="0"/>
    <xf numFmtId="9" fontId="16" fillId="0" borderId="0" applyFont="0" applyFill="0" applyBorder="0" applyAlignment="0" applyProtection="0"/>
  </cellStyleXfs>
  <cellXfs count="389">
    <xf numFmtId="0" fontId="0" fillId="0" borderId="0" xfId="0"/>
    <xf numFmtId="0" fontId="5" fillId="2" borderId="0" xfId="0" applyFont="1" applyFill="1"/>
    <xf numFmtId="0" fontId="0" fillId="2" borderId="0" xfId="0" applyFill="1"/>
    <xf numFmtId="0" fontId="3" fillId="2" borderId="0" xfId="0" applyFont="1" applyFill="1"/>
    <xf numFmtId="0" fontId="2" fillId="2" borderId="0" xfId="0" applyFont="1" applyFill="1"/>
    <xf numFmtId="0" fontId="9" fillId="2" borderId="0" xfId="0" applyFont="1" applyFill="1" applyAlignment="1">
      <alignment horizontal="right"/>
    </xf>
    <xf numFmtId="0" fontId="8" fillId="4" borderId="15" xfId="0" applyFont="1" applyFill="1" applyBorder="1"/>
    <xf numFmtId="0" fontId="5" fillId="4" borderId="15" xfId="0" applyFont="1" applyFill="1" applyBorder="1"/>
    <xf numFmtId="0" fontId="4" fillId="4" borderId="41" xfId="0" applyFont="1" applyFill="1" applyBorder="1" applyAlignment="1">
      <alignment horizontal="left"/>
    </xf>
    <xf numFmtId="0" fontId="5" fillId="3" borderId="34" xfId="0" applyFont="1" applyFill="1" applyBorder="1" applyAlignment="1">
      <alignment horizontal="center" vertical="center" wrapText="1"/>
    </xf>
    <xf numFmtId="0" fontId="19" fillId="2" borderId="0" xfId="0" applyFont="1" applyFill="1"/>
    <xf numFmtId="0" fontId="20" fillId="2" borderId="0" xfId="0" applyFont="1" applyFill="1" applyAlignment="1">
      <alignment horizontal="right"/>
    </xf>
    <xf numFmtId="0" fontId="0" fillId="4" borderId="0" xfId="0" applyFill="1"/>
    <xf numFmtId="0" fontId="21" fillId="2" borderId="0" xfId="0" applyFont="1" applyFill="1" applyAlignment="1">
      <alignment horizontal="left" vertical="center" wrapText="1"/>
    </xf>
    <xf numFmtId="0" fontId="0" fillId="2" borderId="0" xfId="0" applyFill="1" applyAlignment="1">
      <alignment horizontal="left"/>
    </xf>
    <xf numFmtId="0" fontId="0" fillId="4" borderId="15" xfId="0" applyFill="1" applyBorder="1"/>
    <xf numFmtId="0" fontId="6" fillId="4" borderId="15" xfId="0" applyFont="1" applyFill="1" applyBorder="1" applyAlignment="1">
      <alignment horizontal="left" vertical="center" wrapText="1"/>
    </xf>
    <xf numFmtId="0" fontId="11" fillId="0" borderId="44" xfId="0" applyFont="1" applyBorder="1" applyAlignment="1">
      <alignment horizontal="center"/>
    </xf>
    <xf numFmtId="0" fontId="11" fillId="2" borderId="0" xfId="0" applyFont="1" applyFill="1" applyAlignment="1">
      <alignment horizontal="center"/>
    </xf>
    <xf numFmtId="0" fontId="10" fillId="3" borderId="41" xfId="0" applyFont="1" applyFill="1" applyBorder="1"/>
    <xf numFmtId="0" fontId="10" fillId="2" borderId="0" xfId="0" applyFont="1" applyFill="1"/>
    <xf numFmtId="0" fontId="5" fillId="4" borderId="48" xfId="0" applyFont="1" applyFill="1" applyBorder="1"/>
    <xf numFmtId="0" fontId="0" fillId="2" borderId="0" xfId="0" applyFill="1" applyAlignment="1">
      <alignment horizontal="center"/>
    </xf>
    <xf numFmtId="0" fontId="11" fillId="0" borderId="32" xfId="0" applyFont="1" applyBorder="1" applyAlignment="1">
      <alignment horizontal="center"/>
    </xf>
    <xf numFmtId="14" fontId="10" fillId="3" borderId="50" xfId="0" applyNumberFormat="1" applyFont="1" applyFill="1" applyBorder="1"/>
    <xf numFmtId="0" fontId="11" fillId="0" borderId="34" xfId="0" applyFont="1" applyBorder="1" applyAlignment="1">
      <alignment horizontal="center"/>
    </xf>
    <xf numFmtId="14" fontId="10" fillId="3" borderId="51" xfId="0" applyNumberFormat="1" applyFont="1" applyFill="1" applyBorder="1"/>
    <xf numFmtId="0" fontId="11" fillId="0" borderId="59" xfId="0" applyFont="1" applyBorder="1" applyAlignment="1">
      <alignment horizontal="center" vertical="center"/>
    </xf>
    <xf numFmtId="0" fontId="11" fillId="0" borderId="60" xfId="0" applyFont="1" applyBorder="1" applyAlignment="1">
      <alignment horizontal="center" vertical="center"/>
    </xf>
    <xf numFmtId="0" fontId="11" fillId="0" borderId="61" xfId="0" applyFont="1" applyBorder="1" applyAlignment="1">
      <alignment horizontal="center" vertical="center"/>
    </xf>
    <xf numFmtId="0" fontId="11" fillId="0" borderId="46" xfId="0" applyFont="1" applyBorder="1" applyAlignment="1">
      <alignment horizontal="center" vertical="center"/>
    </xf>
    <xf numFmtId="0" fontId="11" fillId="2" borderId="0" xfId="0" applyFont="1" applyFill="1" applyAlignment="1">
      <alignment horizontal="center" vertical="center"/>
    </xf>
    <xf numFmtId="14" fontId="10" fillId="3" borderId="31" xfId="0" applyNumberFormat="1" applyFont="1" applyFill="1" applyBorder="1"/>
    <xf numFmtId="164" fontId="10" fillId="3" borderId="14" xfId="0" applyNumberFormat="1" applyFont="1" applyFill="1" applyBorder="1"/>
    <xf numFmtId="164" fontId="10" fillId="3" borderId="44" xfId="0" applyNumberFormat="1" applyFont="1" applyFill="1" applyBorder="1"/>
    <xf numFmtId="164" fontId="10" fillId="0" borderId="62" xfId="0" applyNumberFormat="1" applyFont="1" applyBorder="1"/>
    <xf numFmtId="164" fontId="10" fillId="2" borderId="0" xfId="0" applyNumberFormat="1" applyFont="1" applyFill="1"/>
    <xf numFmtId="14" fontId="10" fillId="3" borderId="32" xfId="0" applyNumberFormat="1" applyFont="1" applyFill="1" applyBorder="1"/>
    <xf numFmtId="164" fontId="10" fillId="3" borderId="1" xfId="0" applyNumberFormat="1" applyFont="1" applyFill="1" applyBorder="1"/>
    <xf numFmtId="164" fontId="10" fillId="3" borderId="50" xfId="0" applyNumberFormat="1" applyFont="1" applyFill="1" applyBorder="1"/>
    <xf numFmtId="164" fontId="10" fillId="0" borderId="63" xfId="0" applyNumberFormat="1" applyFont="1" applyBorder="1"/>
    <xf numFmtId="14" fontId="10" fillId="3" borderId="34" xfId="0" applyNumberFormat="1" applyFont="1" applyFill="1" applyBorder="1"/>
    <xf numFmtId="164" fontId="10" fillId="3" borderId="35" xfId="0" applyNumberFormat="1" applyFont="1" applyFill="1" applyBorder="1"/>
    <xf numFmtId="164" fontId="10" fillId="3" borderId="51" xfId="0" applyNumberFormat="1" applyFont="1" applyFill="1" applyBorder="1"/>
    <xf numFmtId="164" fontId="10" fillId="0" borderId="64" xfId="0" applyNumberFormat="1" applyFont="1" applyBorder="1"/>
    <xf numFmtId="0" fontId="11" fillId="0" borderId="59" xfId="0" applyFont="1" applyBorder="1" applyAlignment="1">
      <alignment horizontal="center" wrapText="1"/>
    </xf>
    <xf numFmtId="164" fontId="10" fillId="0" borderId="65" xfId="0" applyNumberFormat="1" applyFont="1" applyBorder="1"/>
    <xf numFmtId="164" fontId="10" fillId="0" borderId="52" xfId="0" applyNumberFormat="1" applyFont="1" applyBorder="1"/>
    <xf numFmtId="164" fontId="10" fillId="0" borderId="46" xfId="0" applyNumberFormat="1" applyFont="1" applyBorder="1"/>
    <xf numFmtId="164" fontId="11" fillId="2" borderId="0" xfId="0" applyNumberFormat="1" applyFont="1" applyFill="1"/>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0" xfId="0" applyAlignment="1">
      <alignment vertical="center"/>
    </xf>
    <xf numFmtId="164" fontId="10" fillId="3" borderId="68" xfId="0" applyNumberFormat="1" applyFont="1" applyFill="1" applyBorder="1"/>
    <xf numFmtId="164" fontId="10" fillId="3" borderId="63" xfId="0" applyNumberFormat="1" applyFont="1" applyFill="1" applyBorder="1"/>
    <xf numFmtId="164" fontId="10" fillId="3" borderId="69" xfId="0" applyNumberFormat="1" applyFont="1" applyFill="1" applyBorder="1"/>
    <xf numFmtId="0" fontId="10" fillId="4" borderId="0" xfId="0" applyFont="1" applyFill="1"/>
    <xf numFmtId="164" fontId="22" fillId="5" borderId="0" xfId="0" quotePrefix="1" applyNumberFormat="1" applyFont="1" applyFill="1" applyAlignment="1">
      <alignment horizontal="right"/>
    </xf>
    <xf numFmtId="0" fontId="11" fillId="4" borderId="0" xfId="0" applyFont="1" applyFill="1"/>
    <xf numFmtId="164" fontId="11" fillId="0" borderId="49" xfId="0" applyNumberFormat="1" applyFont="1" applyBorder="1"/>
    <xf numFmtId="0" fontId="11" fillId="0" borderId="0" xfId="0" applyFont="1"/>
    <xf numFmtId="0" fontId="0" fillId="0" borderId="0" xfId="0" applyAlignment="1">
      <alignment horizontal="left"/>
    </xf>
    <xf numFmtId="0" fontId="24" fillId="0" borderId="0" xfId="0" applyFont="1" applyAlignment="1">
      <alignment horizontal="left" vertical="center" indent="2"/>
    </xf>
    <xf numFmtId="0" fontId="23" fillId="0" borderId="0" xfId="0" applyFont="1" applyAlignment="1">
      <alignment horizontal="left" vertical="center"/>
    </xf>
    <xf numFmtId="0" fontId="24" fillId="0" borderId="81" xfId="0" applyFont="1" applyBorder="1" applyAlignment="1">
      <alignment horizontal="left" vertical="center" wrapText="1"/>
    </xf>
    <xf numFmtId="0" fontId="24" fillId="0" borderId="25" xfId="0" applyFont="1" applyBorder="1" applyAlignment="1">
      <alignment horizontal="left" vertical="center" wrapText="1"/>
    </xf>
    <xf numFmtId="0" fontId="24" fillId="0" borderId="27" xfId="0" applyFont="1" applyBorder="1" applyAlignment="1">
      <alignment horizontal="left" vertical="center" wrapText="1"/>
    </xf>
    <xf numFmtId="0" fontId="24" fillId="0" borderId="0" xfId="0" applyFont="1" applyAlignment="1">
      <alignment horizontal="left"/>
    </xf>
    <xf numFmtId="0" fontId="24" fillId="0" borderId="81" xfId="0" applyFont="1" applyBorder="1" applyAlignment="1">
      <alignment horizontal="center" vertical="center" wrapText="1"/>
    </xf>
    <xf numFmtId="0" fontId="24" fillId="0" borderId="77" xfId="0" applyFont="1" applyBorder="1" applyAlignment="1">
      <alignment horizontal="left"/>
    </xf>
    <xf numFmtId="0" fontId="24" fillId="0" borderId="79" xfId="0" applyFont="1" applyBorder="1" applyAlignment="1">
      <alignment horizontal="left" vertical="center" wrapText="1"/>
    </xf>
    <xf numFmtId="0" fontId="26" fillId="0" borderId="0" xfId="0" applyFont="1" applyAlignment="1">
      <alignment horizontal="left" vertical="center"/>
    </xf>
    <xf numFmtId="0" fontId="26" fillId="0" borderId="70" xfId="0" applyFont="1" applyBorder="1" applyAlignment="1">
      <alignment horizontal="left" vertical="center" wrapText="1"/>
    </xf>
    <xf numFmtId="0" fontId="24" fillId="0" borderId="0" xfId="0" applyFont="1" applyAlignment="1">
      <alignment horizontal="left" vertical="center"/>
    </xf>
    <xf numFmtId="0" fontId="24" fillId="0" borderId="81" xfId="0" applyFont="1" applyBorder="1" applyAlignment="1">
      <alignment horizontal="left" vertical="top" wrapText="1"/>
    </xf>
    <xf numFmtId="0" fontId="24" fillId="0" borderId="25" xfId="0" applyFont="1" applyBorder="1" applyAlignment="1">
      <alignment horizontal="left" vertical="top" wrapText="1"/>
    </xf>
    <xf numFmtId="0" fontId="24" fillId="0" borderId="72" xfId="0" applyFont="1" applyBorder="1" applyAlignment="1">
      <alignment horizontal="left" vertical="top" wrapText="1"/>
    </xf>
    <xf numFmtId="0" fontId="24" fillId="0" borderId="82" xfId="0" applyFont="1" applyBorder="1" applyAlignment="1">
      <alignment horizontal="left" vertical="top" wrapText="1"/>
    </xf>
    <xf numFmtId="0" fontId="24" fillId="0" borderId="75" xfId="0" applyFont="1" applyBorder="1" applyAlignment="1">
      <alignment horizontal="left"/>
    </xf>
    <xf numFmtId="0" fontId="24" fillId="0" borderId="76" xfId="0" applyFont="1" applyBorder="1" applyAlignment="1">
      <alignment horizontal="left"/>
    </xf>
    <xf numFmtId="0" fontId="24" fillId="0" borderId="73" xfId="0" applyFont="1" applyBorder="1" applyAlignment="1">
      <alignment horizontal="left"/>
    </xf>
    <xf numFmtId="0" fontId="24" fillId="0" borderId="78" xfId="0" applyFont="1" applyBorder="1" applyAlignment="1">
      <alignment horizontal="left"/>
    </xf>
    <xf numFmtId="0" fontId="24" fillId="0" borderId="77" xfId="0" applyFont="1" applyBorder="1" applyAlignment="1">
      <alignment horizontal="left" vertical="top" wrapText="1"/>
    </xf>
    <xf numFmtId="0" fontId="24" fillId="0" borderId="80" xfId="0" applyFont="1" applyBorder="1" applyAlignment="1">
      <alignment horizontal="left"/>
    </xf>
    <xf numFmtId="0" fontId="24" fillId="0" borderId="74" xfId="0" applyFont="1" applyBorder="1" applyAlignment="1">
      <alignment horizontal="left"/>
    </xf>
    <xf numFmtId="0" fontId="24" fillId="0" borderId="25" xfId="0" applyFont="1" applyBorder="1" applyAlignment="1">
      <alignment horizontal="center" vertical="center" wrapText="1"/>
    </xf>
    <xf numFmtId="0" fontId="28" fillId="0" borderId="0" xfId="0" applyFont="1" applyAlignment="1">
      <alignment horizontal="left" vertical="center" indent="5"/>
    </xf>
    <xf numFmtId="0" fontId="27" fillId="0" borderId="0" xfId="0" applyFont="1" applyAlignment="1">
      <alignment horizontal="left" vertical="center" indent="7"/>
    </xf>
    <xf numFmtId="0" fontId="32" fillId="0" borderId="0" xfId="0" applyFont="1" applyAlignment="1">
      <alignment horizontal="left" vertical="center" indent="10"/>
    </xf>
    <xf numFmtId="0" fontId="27" fillId="0" borderId="0" xfId="0" applyFont="1" applyAlignment="1">
      <alignment horizontal="left" vertical="center"/>
    </xf>
    <xf numFmtId="0" fontId="30" fillId="0" borderId="0" xfId="0" applyFont="1" applyAlignment="1">
      <alignment horizontal="left" vertical="center"/>
    </xf>
    <xf numFmtId="0" fontId="33" fillId="0" borderId="0" xfId="0" applyFont="1" applyAlignment="1">
      <alignment horizontal="left" vertical="center" indent="5"/>
    </xf>
    <xf numFmtId="0" fontId="28" fillId="0" borderId="0" xfId="0" applyFont="1" applyAlignment="1">
      <alignment horizontal="left" vertical="center" indent="2"/>
    </xf>
    <xf numFmtId="0" fontId="36" fillId="0" borderId="0" xfId="0" applyFont="1" applyAlignment="1">
      <alignment horizontal="left" vertical="center" indent="5"/>
    </xf>
    <xf numFmtId="0" fontId="40" fillId="0" borderId="0" xfId="0" applyFont="1" applyAlignment="1">
      <alignment horizontal="left" vertical="center" indent="5"/>
    </xf>
    <xf numFmtId="0" fontId="38" fillId="0" borderId="0" xfId="0" applyFont="1" applyAlignment="1">
      <alignment horizontal="left" vertical="center" indent="5"/>
    </xf>
    <xf numFmtId="0" fontId="42" fillId="0" borderId="0" xfId="0" applyFont="1" applyAlignment="1">
      <alignment horizontal="left" vertical="center" indent="2"/>
    </xf>
    <xf numFmtId="0" fontId="33" fillId="0" borderId="0" xfId="0" applyFont="1" applyAlignment="1">
      <alignment horizontal="left" vertical="center"/>
    </xf>
    <xf numFmtId="0" fontId="34" fillId="0" borderId="0" xfId="0" applyFont="1" applyAlignment="1">
      <alignment horizontal="left" vertical="center"/>
    </xf>
    <xf numFmtId="0" fontId="36" fillId="0" borderId="0" xfId="0" applyFont="1" applyAlignment="1">
      <alignment horizontal="left" vertical="center"/>
    </xf>
    <xf numFmtId="0" fontId="37" fillId="0" borderId="0" xfId="0" applyFont="1" applyAlignment="1">
      <alignment horizontal="left" vertical="center"/>
    </xf>
    <xf numFmtId="0" fontId="35" fillId="0" borderId="0" xfId="0" applyFont="1" applyAlignment="1">
      <alignment horizontal="left" vertical="center"/>
    </xf>
    <xf numFmtId="0" fontId="39" fillId="0" borderId="0" xfId="0" applyFont="1" applyAlignment="1">
      <alignment horizontal="left" vertical="center"/>
    </xf>
    <xf numFmtId="0" fontId="38" fillId="0" borderId="0" xfId="0" applyFont="1" applyAlignment="1">
      <alignment horizontal="left" vertical="center"/>
    </xf>
    <xf numFmtId="0" fontId="40" fillId="0" borderId="0" xfId="0" applyFont="1" applyAlignment="1">
      <alignment horizontal="left" vertical="center"/>
    </xf>
    <xf numFmtId="0" fontId="0" fillId="2" borderId="17" xfId="0" applyFill="1" applyBorder="1"/>
    <xf numFmtId="0" fontId="0" fillId="2" borderId="18" xfId="0" applyFill="1" applyBorder="1"/>
    <xf numFmtId="0" fontId="0" fillId="2" borderId="25" xfId="0" applyFill="1" applyBorder="1"/>
    <xf numFmtId="0" fontId="0" fillId="2" borderId="16" xfId="0" applyFill="1" applyBorder="1"/>
    <xf numFmtId="0" fontId="3" fillId="2" borderId="17" xfId="0" applyFont="1" applyFill="1" applyBorder="1"/>
    <xf numFmtId="0" fontId="14" fillId="2" borderId="17" xfId="0" applyFont="1" applyFill="1" applyBorder="1"/>
    <xf numFmtId="0" fontId="9" fillId="2" borderId="17" xfId="0" applyFont="1" applyFill="1" applyBorder="1"/>
    <xf numFmtId="0" fontId="3" fillId="2" borderId="17" xfId="0" applyFont="1" applyFill="1" applyBorder="1" applyAlignment="1">
      <alignment horizontal="right"/>
    </xf>
    <xf numFmtId="0" fontId="3" fillId="2" borderId="18" xfId="0" applyFont="1" applyFill="1" applyBorder="1" applyAlignment="1">
      <alignment horizontal="right"/>
    </xf>
    <xf numFmtId="0" fontId="0" fillId="2" borderId="26" xfId="0" applyFill="1" applyBorder="1"/>
    <xf numFmtId="0" fontId="8" fillId="4" borderId="26" xfId="0" applyFont="1" applyFill="1" applyBorder="1"/>
    <xf numFmtId="0" fontId="5" fillId="2" borderId="26" xfId="0" applyFont="1" applyFill="1" applyBorder="1"/>
    <xf numFmtId="0" fontId="8" fillId="4" borderId="28" xfId="0" applyFont="1" applyFill="1" applyBorder="1"/>
    <xf numFmtId="0" fontId="4" fillId="0" borderId="45" xfId="0" applyFont="1" applyBorder="1" applyAlignment="1">
      <alignment horizontal="left"/>
    </xf>
    <xf numFmtId="0" fontId="5" fillId="2" borderId="16" xfId="0" applyFont="1" applyFill="1" applyBorder="1" applyAlignment="1">
      <alignment horizontal="left"/>
    </xf>
    <xf numFmtId="0" fontId="5" fillId="2" borderId="17" xfId="0" applyFont="1" applyFill="1" applyBorder="1" applyAlignment="1">
      <alignment horizontal="left"/>
    </xf>
    <xf numFmtId="0" fontId="0" fillId="2" borderId="28" xfId="0" applyFill="1" applyBorder="1"/>
    <xf numFmtId="0" fontId="0" fillId="2" borderId="15" xfId="0" applyFill="1" applyBorder="1"/>
    <xf numFmtId="0" fontId="0" fillId="2" borderId="27" xfId="0" applyFill="1" applyBorder="1"/>
    <xf numFmtId="0" fontId="44" fillId="6" borderId="0" xfId="0" applyFont="1" applyFill="1"/>
    <xf numFmtId="0" fontId="44" fillId="7" borderId="0" xfId="0" applyFont="1" applyFill="1"/>
    <xf numFmtId="0" fontId="46" fillId="8" borderId="0" xfId="0" applyFont="1" applyFill="1" applyAlignment="1">
      <alignment horizontal="left"/>
    </xf>
    <xf numFmtId="0" fontId="47" fillId="9" borderId="0" xfId="0" applyFont="1" applyFill="1" applyAlignment="1">
      <alignment horizontal="left"/>
    </xf>
    <xf numFmtId="0" fontId="47" fillId="10" borderId="0" xfId="0" applyFont="1" applyFill="1" applyAlignment="1">
      <alignment horizontal="left"/>
    </xf>
    <xf numFmtId="0" fontId="48" fillId="0" borderId="0" xfId="0" applyFont="1"/>
    <xf numFmtId="0" fontId="44" fillId="0" borderId="0" xfId="0" applyFont="1" applyAlignment="1">
      <alignment horizontal="left"/>
    </xf>
    <xf numFmtId="0" fontId="45" fillId="0" borderId="0" xfId="0" applyFont="1" applyAlignment="1">
      <alignment horizontal="left"/>
    </xf>
    <xf numFmtId="0" fontId="44" fillId="0" borderId="0" xfId="0" applyFont="1" applyAlignment="1">
      <alignment horizontal="left" vertical="top"/>
    </xf>
    <xf numFmtId="0" fontId="49" fillId="0" borderId="0" xfId="0" applyFont="1" applyAlignment="1">
      <alignment horizontal="left" vertical="top" wrapText="1"/>
    </xf>
    <xf numFmtId="0" fontId="16" fillId="0" borderId="0" xfId="0" applyFont="1"/>
    <xf numFmtId="0" fontId="2" fillId="0" borderId="0" xfId="0" applyFont="1"/>
    <xf numFmtId="0" fontId="49" fillId="0" borderId="0" xfId="0" applyFont="1" applyAlignment="1">
      <alignment horizontal="left"/>
    </xf>
    <xf numFmtId="0" fontId="49" fillId="0" borderId="0" xfId="0" applyFont="1" applyAlignment="1">
      <alignment horizontal="left" vertical="center"/>
    </xf>
    <xf numFmtId="0" fontId="44" fillId="0" borderId="0" xfId="0" applyFont="1"/>
    <xf numFmtId="0" fontId="49" fillId="0" borderId="0" xfId="0" applyFont="1"/>
    <xf numFmtId="0" fontId="50" fillId="0" borderId="0" xfId="0" applyFont="1" applyAlignment="1">
      <alignment horizontal="left"/>
    </xf>
    <xf numFmtId="0" fontId="49" fillId="0" borderId="0" xfId="0" applyFont="1" applyAlignment="1">
      <alignment horizontal="left" vertical="center" wrapText="1"/>
    </xf>
    <xf numFmtId="0" fontId="51" fillId="11" borderId="10" xfId="0" applyFont="1" applyFill="1" applyBorder="1" applyAlignment="1">
      <alignment horizontal="left"/>
    </xf>
    <xf numFmtId="0" fontId="51" fillId="11" borderId="12" xfId="0" applyFont="1" applyFill="1" applyBorder="1" applyAlignment="1">
      <alignment horizontal="left"/>
    </xf>
    <xf numFmtId="0" fontId="8" fillId="4" borderId="0" xfId="0" applyFont="1" applyFill="1"/>
    <xf numFmtId="0" fontId="5" fillId="4" borderId="0" xfId="0" applyFont="1" applyFill="1"/>
    <xf numFmtId="0" fontId="6" fillId="4" borderId="0" xfId="0" applyFont="1" applyFill="1" applyAlignment="1">
      <alignment horizontal="left" wrapText="1"/>
    </xf>
    <xf numFmtId="0" fontId="6" fillId="2" borderId="0" xfId="0" applyFont="1" applyFill="1" applyAlignment="1">
      <alignment horizontal="left" wrapText="1"/>
    </xf>
    <xf numFmtId="0" fontId="17" fillId="0" borderId="47" xfId="0" applyFont="1" applyBorder="1" applyAlignment="1">
      <alignment horizontal="center" wrapText="1"/>
    </xf>
    <xf numFmtId="0" fontId="4" fillId="0" borderId="65" xfId="0" applyFont="1" applyBorder="1" applyAlignment="1">
      <alignment horizontal="center" wrapText="1"/>
    </xf>
    <xf numFmtId="0" fontId="4" fillId="0" borderId="52" xfId="0" applyFont="1" applyBorder="1" applyAlignment="1">
      <alignment horizontal="center" wrapText="1"/>
    </xf>
    <xf numFmtId="0" fontId="17" fillId="0" borderId="48" xfId="0" applyFont="1" applyBorder="1" applyAlignment="1">
      <alignment horizontal="center" wrapText="1"/>
    </xf>
    <xf numFmtId="0" fontId="52" fillId="2" borderId="17" xfId="0" applyFont="1" applyFill="1" applyBorder="1" applyAlignment="1">
      <alignment horizontal="right"/>
    </xf>
    <xf numFmtId="0" fontId="44" fillId="6" borderId="0" xfId="0" applyFont="1" applyFill="1" applyAlignment="1">
      <alignment horizontal="center"/>
    </xf>
    <xf numFmtId="0" fontId="44" fillId="0" borderId="0" xfId="0" applyFont="1" applyAlignment="1">
      <alignment horizontal="center"/>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applyAlignment="1">
      <alignment horizontal="center" vertical="top" wrapText="1"/>
    </xf>
    <xf numFmtId="0" fontId="50" fillId="0" borderId="0" xfId="0" applyFont="1" applyAlignment="1">
      <alignment horizontal="center"/>
    </xf>
    <xf numFmtId="0" fontId="49" fillId="0" borderId="0" xfId="0" applyFont="1" applyAlignment="1">
      <alignment horizontal="center" vertical="center" wrapText="1"/>
    </xf>
    <xf numFmtId="0" fontId="44" fillId="7" borderId="0" xfId="0" applyFont="1" applyFill="1" applyAlignment="1">
      <alignment horizontal="center"/>
    </xf>
    <xf numFmtId="0" fontId="44" fillId="0" borderId="0" xfId="0" applyFont="1" applyAlignment="1">
      <alignment horizontal="center" vertical="top"/>
    </xf>
    <xf numFmtId="0" fontId="45" fillId="12" borderId="8" xfId="0" applyFont="1" applyFill="1" applyBorder="1" applyAlignment="1">
      <alignment horizontal="left"/>
    </xf>
    <xf numFmtId="0" fontId="45" fillId="12" borderId="9" xfId="0" applyFont="1" applyFill="1" applyBorder="1" applyAlignment="1">
      <alignment horizontal="left"/>
    </xf>
    <xf numFmtId="0" fontId="46" fillId="8" borderId="0" xfId="0" applyFont="1" applyFill="1" applyAlignment="1">
      <alignment horizontal="center"/>
    </xf>
    <xf numFmtId="0" fontId="0" fillId="0" borderId="0" xfId="0" applyAlignment="1">
      <alignment horizontal="center"/>
    </xf>
    <xf numFmtId="0" fontId="47" fillId="9" borderId="0" xfId="0" applyFont="1" applyFill="1" applyAlignment="1">
      <alignment horizontal="center"/>
    </xf>
    <xf numFmtId="0" fontId="5" fillId="4" borderId="91" xfId="0" applyFont="1" applyFill="1" applyBorder="1"/>
    <xf numFmtId="0" fontId="0" fillId="2" borderId="91" xfId="0" applyFill="1" applyBorder="1"/>
    <xf numFmtId="0" fontId="0" fillId="2" borderId="92" xfId="0" applyFill="1" applyBorder="1"/>
    <xf numFmtId="0" fontId="5" fillId="3" borderId="30" xfId="0" applyFont="1" applyFill="1" applyBorder="1" applyAlignment="1">
      <alignment horizontal="center" vertical="center" wrapText="1"/>
    </xf>
    <xf numFmtId="0" fontId="5" fillId="3" borderId="87"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2" borderId="16" xfId="0" applyFont="1" applyFill="1" applyBorder="1" applyAlignment="1">
      <alignment horizontal="left"/>
    </xf>
    <xf numFmtId="0" fontId="14" fillId="2" borderId="90" xfId="0" applyFont="1" applyFill="1" applyBorder="1" applyAlignment="1">
      <alignment horizontal="right"/>
    </xf>
    <xf numFmtId="0" fontId="4" fillId="2" borderId="90" xfId="0" applyFont="1" applyFill="1" applyBorder="1" applyAlignment="1">
      <alignment horizontal="right"/>
    </xf>
    <xf numFmtId="164" fontId="5" fillId="4" borderId="90" xfId="1" applyNumberFormat="1" applyFont="1" applyFill="1" applyBorder="1"/>
    <xf numFmtId="0" fontId="4" fillId="2" borderId="90" xfId="0" applyFont="1" applyFill="1" applyBorder="1"/>
    <xf numFmtId="164" fontId="5" fillId="2" borderId="90" xfId="0" applyNumberFormat="1" applyFont="1" applyFill="1" applyBorder="1"/>
    <xf numFmtId="0" fontId="0" fillId="2" borderId="90" xfId="0" applyFill="1" applyBorder="1"/>
    <xf numFmtId="0" fontId="0" fillId="2" borderId="93" xfId="0" applyFill="1" applyBorder="1"/>
    <xf numFmtId="0" fontId="4" fillId="2" borderId="94" xfId="0" applyFont="1" applyFill="1" applyBorder="1" applyAlignment="1">
      <alignment horizontal="left"/>
    </xf>
    <xf numFmtId="0" fontId="14" fillId="2" borderId="95" xfId="0" applyFont="1" applyFill="1" applyBorder="1" applyAlignment="1">
      <alignment horizontal="right"/>
    </xf>
    <xf numFmtId="0" fontId="4" fillId="2" borderId="95" xfId="0" applyFont="1" applyFill="1" applyBorder="1" applyAlignment="1">
      <alignment horizontal="right"/>
    </xf>
    <xf numFmtId="164" fontId="5" fillId="3" borderId="96" xfId="0" applyNumberFormat="1" applyFont="1" applyFill="1" applyBorder="1"/>
    <xf numFmtId="0" fontId="0" fillId="2" borderId="95" xfId="0" applyFill="1" applyBorder="1"/>
    <xf numFmtId="0" fontId="0" fillId="2" borderId="97" xfId="0" applyFill="1" applyBorder="1"/>
    <xf numFmtId="0" fontId="4" fillId="2" borderId="95" xfId="0" applyFont="1" applyFill="1" applyBorder="1" applyAlignment="1">
      <alignment horizontal="right" wrapText="1"/>
    </xf>
    <xf numFmtId="164" fontId="5" fillId="2" borderId="96" xfId="0" applyNumberFormat="1" applyFont="1" applyFill="1" applyBorder="1"/>
    <xf numFmtId="0" fontId="8" fillId="4" borderId="104" xfId="0" applyFont="1" applyFill="1" applyBorder="1"/>
    <xf numFmtId="0" fontId="5" fillId="4" borderId="88" xfId="0" applyFont="1" applyFill="1" applyBorder="1"/>
    <xf numFmtId="0" fontId="5" fillId="3" borderId="53" xfId="0" applyFont="1" applyFill="1" applyBorder="1" applyAlignment="1">
      <alignment horizontal="center" vertical="center" wrapText="1"/>
    </xf>
    <xf numFmtId="0" fontId="4" fillId="2" borderId="105" xfId="0" applyFont="1" applyFill="1" applyBorder="1" applyAlignment="1">
      <alignment horizontal="right"/>
    </xf>
    <xf numFmtId="0" fontId="4" fillId="2" borderId="106" xfId="0" applyFont="1" applyFill="1" applyBorder="1" applyAlignment="1">
      <alignment horizontal="right"/>
    </xf>
    <xf numFmtId="0" fontId="4" fillId="2" borderId="107" xfId="0" applyFont="1" applyFill="1" applyBorder="1" applyAlignment="1">
      <alignment horizontal="right"/>
    </xf>
    <xf numFmtId="0" fontId="5" fillId="13" borderId="5" xfId="0" applyFont="1" applyFill="1" applyBorder="1" applyAlignment="1">
      <alignment horizontal="left" vertical="center"/>
    </xf>
    <xf numFmtId="0" fontId="5" fillId="13" borderId="36" xfId="0" applyFont="1" applyFill="1" applyBorder="1" applyAlignment="1">
      <alignment horizontal="left" vertical="center"/>
    </xf>
    <xf numFmtId="165" fontId="5" fillId="13" borderId="5" xfId="1" applyNumberFormat="1" applyFont="1" applyFill="1" applyBorder="1" applyAlignment="1">
      <alignment horizontal="left" vertical="center"/>
    </xf>
    <xf numFmtId="165" fontId="5" fillId="13" borderId="36" xfId="1" applyNumberFormat="1" applyFont="1" applyFill="1" applyBorder="1" applyAlignment="1">
      <alignment vertical="center"/>
    </xf>
    <xf numFmtId="166" fontId="5" fillId="13" borderId="1" xfId="0" applyNumberFormat="1" applyFont="1" applyFill="1" applyBorder="1" applyAlignment="1">
      <alignment horizontal="left" vertical="center"/>
    </xf>
    <xf numFmtId="167" fontId="5" fillId="13" borderId="31" xfId="0" applyNumberFormat="1" applyFont="1" applyFill="1" applyBorder="1" applyAlignment="1">
      <alignment horizontal="left" vertical="center"/>
    </xf>
    <xf numFmtId="167" fontId="5" fillId="13" borderId="34" xfId="0" applyNumberFormat="1" applyFont="1" applyFill="1" applyBorder="1" applyAlignment="1">
      <alignment horizontal="left" vertical="center"/>
    </xf>
    <xf numFmtId="0" fontId="5" fillId="13" borderId="28" xfId="0" applyFont="1" applyFill="1" applyBorder="1" applyAlignment="1">
      <alignment horizontal="left" vertical="center"/>
    </xf>
    <xf numFmtId="0" fontId="5" fillId="13" borderId="15" xfId="0" applyFont="1" applyFill="1" applyBorder="1" applyAlignment="1">
      <alignment horizontal="left" vertical="center"/>
    </xf>
    <xf numFmtId="0" fontId="5" fillId="13" borderId="27" xfId="0" applyFont="1" applyFill="1" applyBorder="1" applyAlignment="1">
      <alignment horizontal="left" vertical="center"/>
    </xf>
    <xf numFmtId="0" fontId="6" fillId="2" borderId="0" xfId="0" applyFont="1" applyFill="1" applyAlignment="1">
      <alignment horizontal="left" vertical="center" wrapText="1"/>
    </xf>
    <xf numFmtId="0" fontId="6" fillId="2" borderId="25" xfId="0" applyFont="1" applyFill="1" applyBorder="1" applyAlignment="1">
      <alignment horizontal="left" vertical="center" wrapText="1"/>
    </xf>
    <xf numFmtId="0" fontId="4" fillId="0" borderId="57" xfId="0" applyFont="1" applyBorder="1" applyAlignment="1">
      <alignment horizontal="left"/>
    </xf>
    <xf numFmtId="0" fontId="4" fillId="0" borderId="19" xfId="0" applyFont="1" applyBorder="1" applyAlignment="1">
      <alignment horizontal="left"/>
    </xf>
    <xf numFmtId="0" fontId="4" fillId="0" borderId="20" xfId="0" applyFont="1" applyBorder="1" applyAlignment="1">
      <alignment horizontal="left"/>
    </xf>
    <xf numFmtId="0" fontId="5" fillId="13" borderId="26" xfId="0" applyFont="1" applyFill="1" applyBorder="1" applyAlignment="1">
      <alignment horizontal="left" vertical="center"/>
    </xf>
    <xf numFmtId="0" fontId="5" fillId="13" borderId="0" xfId="0" applyFont="1" applyFill="1" applyAlignment="1">
      <alignment horizontal="left" vertical="center"/>
    </xf>
    <xf numFmtId="0" fontId="5" fillId="13" borderId="25" xfId="0" applyFont="1" applyFill="1" applyBorder="1" applyAlignment="1">
      <alignment horizontal="left" vertical="center"/>
    </xf>
    <xf numFmtId="0" fontId="6" fillId="2" borderId="98" xfId="0" applyFont="1" applyFill="1" applyBorder="1" applyAlignment="1">
      <alignment vertical="center"/>
    </xf>
    <xf numFmtId="0" fontId="6" fillId="2" borderId="99" xfId="0" applyFont="1" applyFill="1" applyBorder="1" applyAlignment="1">
      <alignment vertical="center"/>
    </xf>
    <xf numFmtId="0" fontId="6" fillId="2" borderId="89" xfId="0" applyFont="1" applyFill="1" applyBorder="1" applyAlignment="1">
      <alignment vertical="center"/>
    </xf>
    <xf numFmtId="0" fontId="6" fillId="2" borderId="100" xfId="0" applyFont="1" applyFill="1" applyBorder="1" applyAlignment="1">
      <alignment vertical="center" wrapText="1"/>
    </xf>
    <xf numFmtId="0" fontId="6" fillId="2" borderId="101" xfId="0" applyFont="1" applyFill="1" applyBorder="1" applyAlignment="1">
      <alignment vertical="center" wrapText="1"/>
    </xf>
    <xf numFmtId="0" fontId="6" fillId="2" borderId="102" xfId="0" applyFont="1" applyFill="1" applyBorder="1" applyAlignment="1">
      <alignment vertical="center" wrapText="1"/>
    </xf>
    <xf numFmtId="0" fontId="4" fillId="2" borderId="103" xfId="0" applyFont="1" applyFill="1" applyBorder="1" applyAlignment="1">
      <alignment wrapText="1"/>
    </xf>
    <xf numFmtId="0" fontId="4" fillId="2" borderId="102" xfId="0" applyFont="1" applyFill="1" applyBorder="1" applyAlignment="1">
      <alignment wrapText="1"/>
    </xf>
    <xf numFmtId="0" fontId="5" fillId="0" borderId="16"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4" fillId="0" borderId="26" xfId="0" applyFont="1" applyBorder="1" applyAlignment="1">
      <alignment horizontal="left"/>
    </xf>
    <xf numFmtId="0" fontId="4" fillId="0" borderId="0" xfId="0" applyFont="1" applyAlignment="1">
      <alignment horizontal="left"/>
    </xf>
    <xf numFmtId="0" fontId="4" fillId="0" borderId="25" xfId="0" applyFont="1" applyBorder="1" applyAlignment="1">
      <alignment horizontal="left"/>
    </xf>
    <xf numFmtId="0" fontId="5" fillId="13" borderId="26" xfId="0" applyFont="1" applyFill="1" applyBorder="1" applyAlignment="1">
      <alignment horizontal="left" vertical="center" wrapText="1"/>
    </xf>
    <xf numFmtId="0" fontId="5" fillId="13" borderId="0" xfId="0" applyFont="1" applyFill="1" applyAlignment="1">
      <alignment horizontal="left" vertical="center" wrapText="1"/>
    </xf>
    <xf numFmtId="0" fontId="5" fillId="13" borderId="25" xfId="0" applyFont="1" applyFill="1" applyBorder="1" applyAlignment="1">
      <alignment horizontal="left" vertical="center" wrapText="1"/>
    </xf>
    <xf numFmtId="0" fontId="5" fillId="13" borderId="28" xfId="0" applyFont="1" applyFill="1" applyBorder="1" applyAlignment="1">
      <alignment horizontal="left" vertical="center" wrapText="1"/>
    </xf>
    <xf numFmtId="0" fontId="5" fillId="13" borderId="15" xfId="0" applyFont="1" applyFill="1" applyBorder="1" applyAlignment="1">
      <alignment horizontal="left" vertical="center" wrapText="1"/>
    </xf>
    <xf numFmtId="0" fontId="5" fillId="13" borderId="27" xfId="0" applyFont="1" applyFill="1" applyBorder="1" applyAlignment="1">
      <alignment horizontal="left" vertical="center" wrapText="1"/>
    </xf>
    <xf numFmtId="0" fontId="6" fillId="4" borderId="15" xfId="0" applyFont="1" applyFill="1" applyBorder="1" applyAlignment="1">
      <alignment horizontal="center" wrapText="1"/>
    </xf>
    <xf numFmtId="0" fontId="6" fillId="4" borderId="27" xfId="0" applyFont="1" applyFill="1" applyBorder="1" applyAlignment="1">
      <alignment horizontal="center" wrapText="1"/>
    </xf>
    <xf numFmtId="0" fontId="4" fillId="0" borderId="85" xfId="0" applyFont="1" applyBorder="1" applyAlignment="1">
      <alignment horizontal="left"/>
    </xf>
    <xf numFmtId="0" fontId="4" fillId="0" borderId="9" xfId="0" applyFont="1" applyBorder="1" applyAlignment="1">
      <alignment horizontal="left"/>
    </xf>
    <xf numFmtId="0" fontId="4" fillId="0" borderId="86" xfId="0" applyFont="1" applyBorder="1" applyAlignment="1">
      <alignment horizontal="left"/>
    </xf>
    <xf numFmtId="0" fontId="4" fillId="0" borderId="8" xfId="0" applyFont="1" applyBorder="1" applyAlignment="1">
      <alignment horizontal="left"/>
    </xf>
    <xf numFmtId="0" fontId="5" fillId="3" borderId="26"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ill="1" applyAlignment="1">
      <alignment horizontal="center" vertical="center"/>
    </xf>
    <xf numFmtId="0" fontId="0" fillId="3" borderId="21" xfId="0" applyFill="1" applyBorder="1" applyAlignment="1">
      <alignment horizontal="center" vertical="center"/>
    </xf>
    <xf numFmtId="0" fontId="0" fillId="3" borderId="6" xfId="0" applyFill="1" applyBorder="1" applyAlignment="1">
      <alignment horizontal="center" vertical="center"/>
    </xf>
    <xf numFmtId="0" fontId="12" fillId="13" borderId="8" xfId="22" applyFill="1" applyBorder="1" applyAlignment="1">
      <alignment horizontal="center" vertical="center"/>
    </xf>
    <xf numFmtId="0" fontId="5" fillId="13" borderId="0" xfId="0" applyFont="1" applyFill="1" applyAlignment="1">
      <alignment horizontal="center" vertical="center"/>
    </xf>
    <xf numFmtId="0" fontId="5" fillId="13" borderId="9" xfId="0" applyFont="1" applyFill="1" applyBorder="1" applyAlignment="1">
      <alignment horizontal="center" vertical="center"/>
    </xf>
    <xf numFmtId="0" fontId="0" fillId="13" borderId="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5" fillId="13" borderId="8" xfId="0" applyFont="1" applyFill="1" applyBorder="1" applyAlignment="1">
      <alignment horizontal="center"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14" fontId="5" fillId="3" borderId="45" xfId="0" applyNumberFormat="1" applyFont="1" applyFill="1" applyBorder="1" applyAlignment="1">
      <alignment horizontal="center" vertical="center"/>
    </xf>
    <xf numFmtId="14" fontId="0" fillId="3" borderId="44" xfId="0" applyNumberFormat="1" applyFill="1" applyBorder="1" applyAlignment="1">
      <alignment horizontal="center" vertical="center"/>
    </xf>
    <xf numFmtId="0" fontId="4" fillId="0" borderId="40" xfId="0" applyFont="1" applyBorder="1" applyAlignment="1">
      <alignment horizontal="left"/>
    </xf>
    <xf numFmtId="0" fontId="4" fillId="0" borderId="4" xfId="0" applyFont="1" applyBorder="1" applyAlignment="1">
      <alignment horizontal="left"/>
    </xf>
    <xf numFmtId="0" fontId="4" fillId="0" borderId="13" xfId="0" applyFont="1" applyBorder="1" applyAlignment="1">
      <alignment horizontal="left"/>
    </xf>
    <xf numFmtId="0" fontId="4" fillId="4" borderId="13" xfId="0" applyFont="1" applyFill="1" applyBorder="1" applyAlignment="1">
      <alignment horizontal="left"/>
    </xf>
    <xf numFmtId="0" fontId="4" fillId="4" borderId="2" xfId="0" applyFont="1" applyFill="1" applyBorder="1" applyAlignment="1">
      <alignment horizontal="left"/>
    </xf>
    <xf numFmtId="0" fontId="4" fillId="4" borderId="3" xfId="0" applyFont="1" applyFill="1" applyBorder="1" applyAlignment="1">
      <alignment horizontal="left"/>
    </xf>
    <xf numFmtId="0" fontId="4" fillId="4" borderId="4" xfId="0" applyFont="1" applyFill="1" applyBorder="1" applyAlignment="1">
      <alignment horizontal="left"/>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38"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39" xfId="0" applyFont="1" applyFill="1" applyBorder="1" applyAlignment="1">
      <alignment horizontal="center" vertical="center"/>
    </xf>
    <xf numFmtId="14" fontId="5" fillId="4" borderId="45" xfId="0" applyNumberFormat="1" applyFont="1" applyFill="1" applyBorder="1" applyAlignment="1">
      <alignment horizontal="center" vertical="center"/>
    </xf>
    <xf numFmtId="14" fontId="0" fillId="4" borderId="61" xfId="0" applyNumberFormat="1" applyFill="1" applyBorder="1" applyAlignment="1">
      <alignment horizontal="center" vertical="center"/>
    </xf>
    <xf numFmtId="0" fontId="0" fillId="3" borderId="26" xfId="0" applyFill="1" applyBorder="1" applyAlignment="1">
      <alignment horizontal="center" vertical="center"/>
    </xf>
    <xf numFmtId="0" fontId="0" fillId="3" borderId="28" xfId="0" applyFill="1" applyBorder="1" applyAlignment="1">
      <alignment horizontal="center" vertical="center"/>
    </xf>
    <xf numFmtId="0" fontId="0" fillId="3" borderId="15"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5" fillId="4" borderId="8" xfId="0" applyFont="1" applyFill="1" applyBorder="1" applyAlignment="1">
      <alignment horizontal="center" vertical="center"/>
    </xf>
    <xf numFmtId="0" fontId="5" fillId="4" borderId="0" xfId="0" applyFont="1" applyFill="1" applyAlignment="1">
      <alignment horizontal="center" vertical="center"/>
    </xf>
    <xf numFmtId="0" fontId="5" fillId="4" borderId="25"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7" xfId="0" applyFont="1" applyFill="1" applyBorder="1" applyAlignment="1">
      <alignment horizontal="center" vertical="center"/>
    </xf>
    <xf numFmtId="0" fontId="11" fillId="0" borderId="29" xfId="0" applyFont="1" applyBorder="1" applyAlignment="1">
      <alignment horizontal="center" vertical="center"/>
    </xf>
    <xf numFmtId="0" fontId="4" fillId="0" borderId="66" xfId="0" applyFont="1" applyBorder="1" applyAlignment="1">
      <alignment horizontal="center" vertical="center"/>
    </xf>
    <xf numFmtId="0" fontId="11" fillId="0" borderId="30" xfId="0" applyFont="1" applyBorder="1" applyAlignment="1">
      <alignment horizontal="center" vertical="center"/>
    </xf>
    <xf numFmtId="0" fontId="11" fillId="0" borderId="43"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4" fillId="0" borderId="87" xfId="0" applyFont="1" applyBorder="1" applyAlignment="1">
      <alignment horizontal="center" vertical="center"/>
    </xf>
    <xf numFmtId="0" fontId="4" fillId="0" borderId="61" xfId="0" applyFont="1" applyBorder="1" applyAlignment="1">
      <alignment horizontal="center" vertical="center"/>
    </xf>
    <xf numFmtId="0" fontId="4" fillId="0" borderId="47" xfId="0" applyFont="1" applyBorder="1" applyAlignment="1">
      <alignment horizontal="center"/>
    </xf>
    <xf numFmtId="0" fontId="4" fillId="0" borderId="48" xfId="0" applyFont="1" applyBorder="1" applyAlignment="1">
      <alignment horizontal="center"/>
    </xf>
    <xf numFmtId="0" fontId="4" fillId="0" borderId="49" xfId="0" applyFont="1" applyBorder="1" applyAlignment="1">
      <alignment horizontal="center"/>
    </xf>
    <xf numFmtId="0" fontId="0" fillId="3" borderId="26" xfId="0" applyFill="1" applyBorder="1" applyAlignment="1">
      <alignment horizontal="left" vertical="center"/>
    </xf>
    <xf numFmtId="0" fontId="0" fillId="3" borderId="0" xfId="0" applyFill="1" applyAlignment="1">
      <alignment horizontal="left" vertical="center"/>
    </xf>
    <xf numFmtId="0" fontId="0" fillId="3" borderId="9" xfId="0" applyFill="1" applyBorder="1" applyAlignment="1">
      <alignment horizontal="left" vertical="center"/>
    </xf>
    <xf numFmtId="0" fontId="0" fillId="3" borderId="21" xfId="0" applyFill="1" applyBorder="1" applyAlignment="1">
      <alignment horizontal="left" vertical="center"/>
    </xf>
    <xf numFmtId="0" fontId="0" fillId="3" borderId="6" xfId="0" applyFill="1" applyBorder="1" applyAlignment="1">
      <alignment horizontal="left" vertical="center"/>
    </xf>
    <xf numFmtId="0" fontId="0" fillId="3" borderId="7" xfId="0" applyFill="1" applyBorder="1" applyAlignment="1">
      <alignment horizontal="left" vertical="center"/>
    </xf>
    <xf numFmtId="0" fontId="0" fillId="4" borderId="8" xfId="0" applyFill="1" applyBorder="1" applyAlignment="1">
      <alignment horizontal="left"/>
    </xf>
    <xf numFmtId="0" fontId="0" fillId="4" borderId="0" xfId="0" applyFill="1" applyAlignment="1">
      <alignment horizontal="left"/>
    </xf>
    <xf numFmtId="0" fontId="0" fillId="4" borderId="9" xfId="0" applyFill="1" applyBorder="1" applyAlignment="1">
      <alignment horizontal="left"/>
    </xf>
    <xf numFmtId="0" fontId="0" fillId="4" borderId="5" xfId="0" applyFill="1" applyBorder="1" applyAlignment="1">
      <alignment horizontal="left"/>
    </xf>
    <xf numFmtId="0" fontId="0" fillId="4" borderId="6" xfId="0" applyFill="1" applyBorder="1" applyAlignment="1">
      <alignment horizontal="left"/>
    </xf>
    <xf numFmtId="0" fontId="0" fillId="4" borderId="7" xfId="0" applyFill="1" applyBorder="1" applyAlignment="1">
      <alignment horizontal="left"/>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14" fontId="0" fillId="4" borderId="45" xfId="0" applyNumberFormat="1" applyFill="1" applyBorder="1" applyAlignment="1">
      <alignment horizontal="center" vertical="center"/>
    </xf>
    <xf numFmtId="14" fontId="0" fillId="4" borderId="44" xfId="0" applyNumberFormat="1" applyFill="1" applyBorder="1" applyAlignment="1">
      <alignment horizontal="center" vertical="center"/>
    </xf>
    <xf numFmtId="0" fontId="4" fillId="0" borderId="24"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23" xfId="0" applyFont="1" applyBorder="1" applyAlignment="1">
      <alignment horizontal="left" vertical="top" wrapText="1"/>
    </xf>
    <xf numFmtId="0" fontId="5" fillId="13" borderId="26" xfId="0" applyFont="1" applyFill="1" applyBorder="1" applyAlignment="1">
      <alignment horizontal="center" vertical="center"/>
    </xf>
    <xf numFmtId="0" fontId="0" fillId="13" borderId="9" xfId="0" applyFill="1" applyBorder="1" applyAlignment="1">
      <alignment horizontal="center" vertical="center"/>
    </xf>
    <xf numFmtId="0" fontId="0" fillId="13" borderId="28" xfId="0" applyFill="1" applyBorder="1" applyAlignment="1">
      <alignment horizontal="center" vertical="center"/>
    </xf>
    <xf numFmtId="0" fontId="0" fillId="13" borderId="15" xfId="0" applyFill="1" applyBorder="1" applyAlignment="1">
      <alignment horizontal="center" vertical="center"/>
    </xf>
    <xf numFmtId="0" fontId="0" fillId="13" borderId="39" xfId="0" applyFill="1" applyBorder="1" applyAlignment="1">
      <alignment horizontal="center" vertical="center"/>
    </xf>
    <xf numFmtId="0" fontId="0" fillId="4" borderId="0" xfId="0" applyFill="1" applyAlignment="1">
      <alignment horizontal="center" vertical="center"/>
    </xf>
    <xf numFmtId="0" fontId="0" fillId="4" borderId="9" xfId="0" applyFill="1" applyBorder="1" applyAlignment="1">
      <alignment horizontal="center" vertical="center"/>
    </xf>
    <xf numFmtId="0" fontId="0" fillId="4" borderId="38" xfId="0" applyFill="1" applyBorder="1" applyAlignment="1">
      <alignment horizontal="center" vertical="center"/>
    </xf>
    <xf numFmtId="0" fontId="0" fillId="4" borderId="15" xfId="0" applyFill="1" applyBorder="1" applyAlignment="1">
      <alignment horizontal="center" vertical="center"/>
    </xf>
    <xf numFmtId="0" fontId="0" fillId="4" borderId="39" xfId="0" applyFill="1" applyBorder="1" applyAlignment="1">
      <alignment horizontal="center" vertical="center"/>
    </xf>
    <xf numFmtId="0" fontId="11" fillId="0" borderId="57" xfId="0" applyFont="1" applyBorder="1" applyAlignment="1">
      <alignment horizontal="center"/>
    </xf>
    <xf numFmtId="0" fontId="0" fillId="0" borderId="20" xfId="0" applyBorder="1" applyAlignment="1">
      <alignment horizontal="center"/>
    </xf>
    <xf numFmtId="0" fontId="11" fillId="0" borderId="53" xfId="0" applyFont="1" applyBorder="1" applyAlignment="1">
      <alignment horizontal="center"/>
    </xf>
    <xf numFmtId="0" fontId="0" fillId="0" borderId="54" xfId="0" applyBorder="1" applyAlignment="1">
      <alignment horizontal="center"/>
    </xf>
    <xf numFmtId="0" fontId="0" fillId="0" borderId="58" xfId="0" applyBorder="1" applyAlignment="1">
      <alignment horizontal="center"/>
    </xf>
    <xf numFmtId="0" fontId="21" fillId="2" borderId="0" xfId="0" applyFont="1" applyFill="1" applyAlignment="1">
      <alignment horizontal="left" vertical="center" wrapText="1"/>
    </xf>
    <xf numFmtId="0" fontId="0" fillId="0" borderId="0" xfId="0" applyAlignment="1">
      <alignment horizontal="left"/>
    </xf>
    <xf numFmtId="0" fontId="0" fillId="0" borderId="15" xfId="0" applyBorder="1" applyAlignment="1">
      <alignment horizontal="left"/>
    </xf>
    <xf numFmtId="0" fontId="11" fillId="0" borderId="14" xfId="0" applyFont="1" applyBorder="1" applyAlignment="1">
      <alignment horizontal="center"/>
    </xf>
    <xf numFmtId="0" fontId="0" fillId="0" borderId="14" xfId="0" applyBorder="1" applyAlignment="1">
      <alignment horizontal="center"/>
    </xf>
    <xf numFmtId="0" fontId="10" fillId="3" borderId="55" xfId="0" applyFont="1" applyFill="1" applyBorder="1"/>
    <xf numFmtId="0" fontId="5" fillId="3" borderId="56" xfId="0" applyFont="1" applyFill="1" applyBorder="1"/>
    <xf numFmtId="0" fontId="5" fillId="3" borderId="42" xfId="0" applyFont="1" applyFill="1" applyBorder="1"/>
    <xf numFmtId="0" fontId="10" fillId="3" borderId="36" xfId="0" applyFont="1" applyFill="1" applyBorder="1"/>
    <xf numFmtId="0" fontId="11" fillId="0" borderId="47" xfId="0" applyFont="1" applyBorder="1" applyAlignment="1">
      <alignment horizontal="center" vertical="center"/>
    </xf>
    <xf numFmtId="0" fontId="0" fillId="0" borderId="49" xfId="0" applyBorder="1" applyAlignment="1">
      <alignment horizontal="center" vertical="center"/>
    </xf>
    <xf numFmtId="0" fontId="10" fillId="3" borderId="24" xfId="0" applyFont="1" applyFill="1" applyBorder="1" applyAlignment="1">
      <alignment horizontal="left" vertical="center"/>
    </xf>
    <xf numFmtId="0" fontId="0" fillId="0" borderId="3" xfId="0" applyBorder="1" applyAlignment="1">
      <alignment horizontal="left" vertical="center"/>
    </xf>
    <xf numFmtId="0" fontId="0" fillId="0" borderId="23" xfId="0" applyBorder="1" applyAlignment="1">
      <alignment horizontal="left" vertical="center"/>
    </xf>
    <xf numFmtId="0" fontId="0" fillId="0" borderId="28" xfId="0" applyBorder="1" applyAlignment="1">
      <alignment horizontal="left" vertical="center"/>
    </xf>
    <xf numFmtId="0" fontId="0" fillId="0" borderId="15" xfId="0" applyBorder="1" applyAlignment="1">
      <alignment horizontal="left" vertical="center"/>
    </xf>
    <xf numFmtId="0" fontId="0" fillId="0" borderId="27" xfId="0" applyBorder="1" applyAlignment="1">
      <alignment horizontal="left" vertical="center"/>
    </xf>
    <xf numFmtId="0" fontId="11" fillId="0" borderId="15" xfId="0" applyFont="1" applyBorder="1" applyAlignment="1">
      <alignment horizontal="center" vertical="center"/>
    </xf>
    <xf numFmtId="0" fontId="10" fillId="0" borderId="27" xfId="0" applyFont="1" applyBorder="1" applyAlignment="1">
      <alignment horizontal="center" vertical="center"/>
    </xf>
    <xf numFmtId="0" fontId="10" fillId="3" borderId="5" xfId="0" applyFont="1" applyFill="1" applyBorder="1"/>
    <xf numFmtId="0" fontId="10" fillId="3" borderId="6" xfId="0" applyFont="1" applyFill="1" applyBorder="1"/>
    <xf numFmtId="0" fontId="10" fillId="0" borderId="22" xfId="0" applyFont="1" applyBorder="1"/>
    <xf numFmtId="0" fontId="10" fillId="3" borderId="10" xfId="0" applyFont="1" applyFill="1" applyBorder="1"/>
    <xf numFmtId="0" fontId="10" fillId="3" borderId="11" xfId="0" applyFont="1" applyFill="1" applyBorder="1"/>
    <xf numFmtId="0" fontId="10" fillId="0" borderId="33" xfId="0" applyFont="1" applyBorder="1"/>
    <xf numFmtId="0" fontId="0" fillId="0" borderId="11" xfId="0" applyBorder="1"/>
    <xf numFmtId="0" fontId="0" fillId="0" borderId="33" xfId="0" applyBorder="1"/>
    <xf numFmtId="0" fontId="10" fillId="3" borderId="56" xfId="0" applyFont="1" applyFill="1" applyBorder="1"/>
    <xf numFmtId="0" fontId="10" fillId="0" borderId="37" xfId="0" applyFont="1" applyBorder="1"/>
    <xf numFmtId="0" fontId="11" fillId="0" borderId="48" xfId="0" applyFont="1" applyBorder="1" applyAlignment="1">
      <alignment horizontal="center" vertical="center" wrapText="1"/>
    </xf>
    <xf numFmtId="0" fontId="0" fillId="0" borderId="49" xfId="0" applyBorder="1"/>
    <xf numFmtId="0" fontId="24" fillId="0" borderId="77" xfId="0" applyFont="1" applyBorder="1" applyAlignment="1">
      <alignment horizontal="center" vertical="center" wrapText="1"/>
    </xf>
    <xf numFmtId="0" fontId="24" fillId="0" borderId="0" xfId="0" applyFont="1" applyAlignment="1">
      <alignment horizontal="center" vertical="center" wrapText="1"/>
    </xf>
    <xf numFmtId="0" fontId="24" fillId="0" borderId="78" xfId="0" applyFont="1" applyBorder="1" applyAlignment="1">
      <alignment horizontal="center" vertical="center" wrapText="1"/>
    </xf>
    <xf numFmtId="0" fontId="26" fillId="0" borderId="71" xfId="0" applyFont="1" applyBorder="1" applyAlignment="1">
      <alignment horizontal="left" vertical="center" wrapText="1"/>
    </xf>
    <xf numFmtId="0" fontId="26" fillId="0" borderId="72" xfId="0" applyFont="1" applyBorder="1" applyAlignment="1">
      <alignment horizontal="left" vertical="center" wrapText="1"/>
    </xf>
    <xf numFmtId="0" fontId="26" fillId="0" borderId="75" xfId="0" applyFont="1" applyBorder="1" applyAlignment="1">
      <alignment horizontal="left" vertical="center" wrapText="1"/>
    </xf>
    <xf numFmtId="0" fontId="26" fillId="0" borderId="76" xfId="0" applyFont="1" applyBorder="1" applyAlignment="1">
      <alignment horizontal="left" vertical="center" wrapText="1"/>
    </xf>
    <xf numFmtId="0" fontId="26" fillId="0" borderId="73" xfId="0" applyFont="1" applyBorder="1" applyAlignment="1">
      <alignment horizontal="left" vertical="center" wrapText="1"/>
    </xf>
    <xf numFmtId="0" fontId="24" fillId="0" borderId="83" xfId="0" applyFont="1" applyBorder="1" applyAlignment="1">
      <alignment horizontal="left" vertical="center" wrapText="1"/>
    </xf>
    <xf numFmtId="0" fontId="24" fillId="0" borderId="15" xfId="0" applyFont="1" applyBorder="1" applyAlignment="1">
      <alignment horizontal="left" vertical="center" wrapText="1"/>
    </xf>
    <xf numFmtId="0" fontId="24" fillId="0" borderId="84" xfId="0" applyFont="1" applyBorder="1" applyAlignment="1">
      <alignment horizontal="left" vertical="center" wrapText="1"/>
    </xf>
    <xf numFmtId="0" fontId="26" fillId="0" borderId="77" xfId="0" applyFont="1" applyBorder="1" applyAlignment="1">
      <alignment horizontal="left" vertical="center" wrapText="1"/>
    </xf>
    <xf numFmtId="0" fontId="26" fillId="0" borderId="0" xfId="0" applyFont="1" applyAlignment="1">
      <alignment horizontal="left" vertical="center" wrapText="1"/>
    </xf>
    <xf numFmtId="0" fontId="26" fillId="0" borderId="78" xfId="0" applyFont="1" applyBorder="1" applyAlignment="1">
      <alignment horizontal="left" vertical="center" wrapText="1"/>
    </xf>
    <xf numFmtId="0" fontId="26" fillId="0" borderId="77" xfId="0" applyFont="1" applyBorder="1" applyAlignment="1">
      <alignment horizontal="center" vertical="center" wrapText="1"/>
    </xf>
    <xf numFmtId="0" fontId="26" fillId="0" borderId="0" xfId="0" applyFont="1" applyAlignment="1">
      <alignment horizontal="center" vertical="center" wrapText="1"/>
    </xf>
    <xf numFmtId="0" fontId="26" fillId="0" borderId="78" xfId="0" applyFont="1" applyBorder="1" applyAlignment="1">
      <alignment horizontal="center" vertical="center" wrapText="1"/>
    </xf>
    <xf numFmtId="0" fontId="24" fillId="0" borderId="77" xfId="0" applyFont="1" applyBorder="1" applyAlignment="1">
      <alignment horizontal="left" vertical="center" wrapText="1"/>
    </xf>
    <xf numFmtId="0" fontId="24" fillId="0" borderId="0" xfId="0" applyFont="1" applyAlignment="1">
      <alignment horizontal="left" vertical="center" wrapText="1"/>
    </xf>
    <xf numFmtId="0" fontId="24" fillId="0" borderId="78" xfId="0" applyFont="1" applyBorder="1" applyAlignment="1">
      <alignment horizontal="left" vertical="center" wrapText="1"/>
    </xf>
    <xf numFmtId="0" fontId="24" fillId="0" borderId="79" xfId="0" applyFont="1" applyBorder="1" applyAlignment="1">
      <alignment horizontal="left" vertical="center" wrapText="1"/>
    </xf>
    <xf numFmtId="0" fontId="24" fillId="0" borderId="80" xfId="0" applyFont="1" applyBorder="1" applyAlignment="1">
      <alignment horizontal="left" vertical="center" wrapText="1"/>
    </xf>
    <xf numFmtId="0" fontId="24" fillId="0" borderId="74" xfId="0" applyFont="1" applyBorder="1" applyAlignment="1">
      <alignment horizontal="left" vertical="center" wrapText="1"/>
    </xf>
    <xf numFmtId="0" fontId="25" fillId="0" borderId="0" xfId="0" applyFont="1" applyAlignment="1">
      <alignment horizontal="left" vertical="center" wrapText="1"/>
    </xf>
  </cellXfs>
  <cellStyles count="25">
    <cellStyle name="Currency" xfId="1" builtinId="4"/>
    <cellStyle name="Followed Hyperlink" xfId="11" builtinId="9" hidden="1"/>
    <cellStyle name="Followed Hyperlink" xfId="13"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3" builtinId="9" hidden="1"/>
    <cellStyle name="Hyperlink" xfId="16" builtinId="8" hidden="1"/>
    <cellStyle name="Hyperlink" xfId="18" builtinId="8" hidden="1"/>
    <cellStyle name="Hyperlink" xfId="20" builtinId="8" hidden="1"/>
    <cellStyle name="Hyperlink" xfId="14" builtinId="8" hidden="1"/>
    <cellStyle name="Hyperlink" xfId="8" builtinId="8" hidden="1"/>
    <cellStyle name="Hyperlink" xfId="10" builtinId="8" hidden="1"/>
    <cellStyle name="Hyperlink" xfId="12" builtinId="8" hidden="1"/>
    <cellStyle name="Hyperlink" xfId="4" builtinId="8" hidden="1"/>
    <cellStyle name="Hyperlink" xfId="6" builtinId="8" hidden="1"/>
    <cellStyle name="Hyperlink" xfId="2" builtinId="8" hidden="1"/>
    <cellStyle name="Hyperlink" xfId="22" builtinId="8"/>
    <cellStyle name="Normal" xfId="0" builtinId="0"/>
    <cellStyle name="Normal 2" xfId="23" xr:uid="{00000000-0005-0000-0000-000017000000}"/>
    <cellStyle name="Percent 2" xfId="24" xr:uid="{00000000-0005-0000-0000-000018000000}"/>
  </cellStyles>
  <dxfs count="1">
    <dxf>
      <font>
        <color rgb="FF9C0006"/>
      </font>
      <fill>
        <patternFill>
          <bgColor rgb="FFFFC7CE"/>
        </patternFill>
      </fill>
    </dxf>
  </dxfs>
  <tableStyles count="0" defaultTableStyle="TableStyleMedium9" defaultPivotStyle="PivotStyleMedium4"/>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87630</xdr:colOff>
      <xdr:row>1</xdr:row>
      <xdr:rowOff>30480</xdr:rowOff>
    </xdr:from>
    <xdr:to>
      <xdr:col>1</xdr:col>
      <xdr:colOff>378909</xdr:colOff>
      <xdr:row>6</xdr:row>
      <xdr:rowOff>716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325755" y="220980"/>
          <a:ext cx="1186815" cy="1179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1</xdr:col>
      <xdr:colOff>791845</xdr:colOff>
      <xdr:row>3</xdr:row>
      <xdr:rowOff>91815</xdr:rowOff>
    </xdr:to>
    <xdr:pic>
      <xdr:nvPicPr>
        <xdr:cNvPr id="2" name="Picture 1" descr="CMI 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8100" y="28575"/>
          <a:ext cx="1835785" cy="703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1747520</xdr:colOff>
      <xdr:row>4</xdr:row>
      <xdr:rowOff>635</xdr:rowOff>
    </xdr:to>
    <xdr:pic>
      <xdr:nvPicPr>
        <xdr:cNvPr id="5" name="Picture 4">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47520" cy="66548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xdr:col>
          <xdr:colOff>139700</xdr:colOff>
          <xdr:row>21</xdr:row>
          <xdr:rowOff>0</xdr:rowOff>
        </xdr:from>
        <xdr:to>
          <xdr:col>1</xdr:col>
          <xdr:colOff>406400</xdr:colOff>
          <xdr:row>22</xdr:row>
          <xdr:rowOff>38100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22</xdr:row>
          <xdr:rowOff>152400</xdr:rowOff>
        </xdr:from>
        <xdr:to>
          <xdr:col>1</xdr:col>
          <xdr:colOff>406400</xdr:colOff>
          <xdr:row>24</xdr:row>
          <xdr:rowOff>25400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596900</xdr:colOff>
          <xdr:row>20</xdr:row>
          <xdr:rowOff>139700</xdr:rowOff>
        </xdr:from>
        <xdr:to>
          <xdr:col>2</xdr:col>
          <xdr:colOff>850900</xdr:colOff>
          <xdr:row>22</xdr:row>
          <xdr:rowOff>25400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139700</xdr:colOff>
          <xdr:row>20</xdr:row>
          <xdr:rowOff>139700</xdr:rowOff>
        </xdr:from>
        <xdr:to>
          <xdr:col>0</xdr:col>
          <xdr:colOff>406400</xdr:colOff>
          <xdr:row>22</xdr:row>
          <xdr:rowOff>25400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22</xdr:row>
          <xdr:rowOff>139700</xdr:rowOff>
        </xdr:from>
        <xdr:to>
          <xdr:col>0</xdr:col>
          <xdr:colOff>342900</xdr:colOff>
          <xdr:row>24</xdr:row>
          <xdr:rowOff>25400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60960</xdr:colOff>
      <xdr:row>4</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49936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P40"/>
  <sheetViews>
    <sheetView tabSelected="1" zoomScale="120" zoomScaleNormal="120" workbookViewId="0">
      <selection activeCell="E17" sqref="E17"/>
    </sheetView>
  </sheetViews>
  <sheetFormatPr baseColWidth="10" defaultColWidth="8.5" defaultRowHeight="15" x14ac:dyDescent="0.2"/>
  <cols>
    <col min="1" max="1" width="13.5" customWidth="1"/>
    <col min="2" max="2" width="41.83203125" customWidth="1"/>
    <col min="3" max="3" width="11.1640625" customWidth="1"/>
    <col min="4" max="4" width="11.5" customWidth="1"/>
    <col min="5" max="5" width="15.5" bestFit="1" customWidth="1"/>
    <col min="6" max="6" width="10.5" customWidth="1"/>
    <col min="7" max="7" width="15.5" bestFit="1" customWidth="1"/>
    <col min="8" max="8" width="10.5" customWidth="1"/>
    <col min="9" max="9" width="15.5" customWidth="1"/>
    <col min="10" max="10" width="10.5" customWidth="1"/>
    <col min="11" max="11" width="15.5" customWidth="1"/>
    <col min="12" max="12" width="11.33203125" customWidth="1"/>
    <col min="13" max="13" width="15.5" bestFit="1" customWidth="1"/>
    <col min="14" max="14" width="11.33203125" customWidth="1"/>
    <col min="15" max="15" width="15.5" customWidth="1"/>
    <col min="16" max="16" width="14.1640625" customWidth="1"/>
  </cols>
  <sheetData>
    <row r="1" spans="1:16" ht="16" thickBot="1" x14ac:dyDescent="0.25"/>
    <row r="2" spans="1:16" ht="19" x14ac:dyDescent="0.25">
      <c r="A2" s="108"/>
      <c r="B2" s="105"/>
      <c r="C2" s="105"/>
      <c r="D2" s="109"/>
      <c r="E2" s="109"/>
      <c r="F2" s="105"/>
      <c r="G2" s="110"/>
      <c r="H2" s="110"/>
      <c r="I2" s="110"/>
      <c r="J2" s="111"/>
      <c r="K2" s="152"/>
      <c r="L2" s="112"/>
      <c r="M2" s="112"/>
      <c r="N2" s="112" t="s">
        <v>400</v>
      </c>
      <c r="O2" s="112"/>
      <c r="P2" s="113"/>
    </row>
    <row r="3" spans="1:16" ht="18" customHeight="1" x14ac:dyDescent="0.2">
      <c r="A3" s="114"/>
      <c r="B3" s="2"/>
      <c r="C3" s="2"/>
      <c r="D3" s="4"/>
      <c r="E3" s="206" t="s">
        <v>0</v>
      </c>
      <c r="F3" s="206"/>
      <c r="G3" s="206"/>
      <c r="H3" s="206"/>
      <c r="I3" s="206"/>
      <c r="J3" s="206"/>
      <c r="K3" s="206"/>
      <c r="L3" s="206"/>
      <c r="M3" s="206"/>
      <c r="N3" s="206"/>
      <c r="O3" s="206"/>
      <c r="P3" s="207"/>
    </row>
    <row r="4" spans="1:16" ht="14" customHeight="1" x14ac:dyDescent="0.2">
      <c r="A4" s="114"/>
      <c r="B4" s="2"/>
      <c r="C4" s="2"/>
      <c r="D4" s="2"/>
      <c r="E4" s="206"/>
      <c r="F4" s="206"/>
      <c r="G4" s="206"/>
      <c r="H4" s="206"/>
      <c r="I4" s="206"/>
      <c r="J4" s="206"/>
      <c r="K4" s="206"/>
      <c r="L4" s="206"/>
      <c r="M4" s="206"/>
      <c r="N4" s="206"/>
      <c r="O4" s="206"/>
      <c r="P4" s="207"/>
    </row>
    <row r="5" spans="1:16" ht="32" customHeight="1" x14ac:dyDescent="0.2">
      <c r="A5" s="114"/>
      <c r="B5" s="2"/>
      <c r="C5" s="2"/>
      <c r="D5" s="2"/>
      <c r="E5" s="206"/>
      <c r="F5" s="206"/>
      <c r="G5" s="206"/>
      <c r="H5" s="206"/>
      <c r="I5" s="206"/>
      <c r="J5" s="206"/>
      <c r="K5" s="206"/>
      <c r="L5" s="206"/>
      <c r="M5" s="206"/>
      <c r="N5" s="206"/>
      <c r="O5" s="206"/>
      <c r="P5" s="207"/>
    </row>
    <row r="6" spans="1:16" x14ac:dyDescent="0.2">
      <c r="A6" s="114"/>
      <c r="B6" s="2"/>
      <c r="C6" s="2"/>
      <c r="D6" s="1"/>
      <c r="E6" s="206"/>
      <c r="F6" s="206"/>
      <c r="G6" s="206"/>
      <c r="H6" s="206"/>
      <c r="I6" s="206"/>
      <c r="J6" s="206"/>
      <c r="K6" s="206"/>
      <c r="L6" s="206"/>
      <c r="M6" s="206"/>
      <c r="N6" s="206"/>
      <c r="O6" s="206"/>
      <c r="P6" s="207"/>
    </row>
    <row r="7" spans="1:16" ht="16" thickBot="1" x14ac:dyDescent="0.25">
      <c r="A7" s="115" t="s">
        <v>1</v>
      </c>
      <c r="B7" s="144"/>
      <c r="C7" s="144"/>
      <c r="D7" s="145"/>
      <c r="E7" s="146"/>
      <c r="F7" s="146"/>
      <c r="G7" s="146"/>
      <c r="H7" s="146"/>
      <c r="I7" s="146"/>
      <c r="J7" s="147"/>
      <c r="K7" s="147"/>
      <c r="L7" s="2"/>
      <c r="M7" s="2"/>
      <c r="N7" s="2"/>
      <c r="O7" s="2"/>
      <c r="P7" s="107"/>
    </row>
    <row r="8" spans="1:16" x14ac:dyDescent="0.2">
      <c r="A8" s="208" t="s">
        <v>2</v>
      </c>
      <c r="B8" s="209"/>
      <c r="C8" s="209"/>
      <c r="D8" s="209"/>
      <c r="E8" s="209"/>
      <c r="F8" s="209"/>
      <c r="G8" s="209"/>
      <c r="H8" s="209"/>
      <c r="I8" s="209"/>
      <c r="J8" s="209"/>
      <c r="K8" s="209"/>
      <c r="L8" s="209"/>
      <c r="M8" s="209"/>
      <c r="N8" s="209"/>
      <c r="O8" s="209"/>
      <c r="P8" s="210"/>
    </row>
    <row r="9" spans="1:16" ht="16" thickBot="1" x14ac:dyDescent="0.25">
      <c r="A9" s="203"/>
      <c r="B9" s="204"/>
      <c r="C9" s="204"/>
      <c r="D9" s="204"/>
      <c r="E9" s="204"/>
      <c r="F9" s="204"/>
      <c r="G9" s="204"/>
      <c r="H9" s="204"/>
      <c r="I9" s="204"/>
      <c r="J9" s="204"/>
      <c r="K9" s="204"/>
      <c r="L9" s="204"/>
      <c r="M9" s="204"/>
      <c r="N9" s="204"/>
      <c r="O9" s="204"/>
      <c r="P9" s="205"/>
    </row>
    <row r="10" spans="1:16" x14ac:dyDescent="0.2">
      <c r="A10" s="208" t="s">
        <v>3</v>
      </c>
      <c r="B10" s="209"/>
      <c r="C10" s="209"/>
      <c r="D10" s="209"/>
      <c r="E10" s="209"/>
      <c r="F10" s="209"/>
      <c r="G10" s="209"/>
      <c r="H10" s="209"/>
      <c r="I10" s="209"/>
      <c r="J10" s="209"/>
      <c r="K10" s="209"/>
      <c r="L10" s="209"/>
      <c r="M10" s="209"/>
      <c r="N10" s="209"/>
      <c r="O10" s="209"/>
      <c r="P10" s="210"/>
    </row>
    <row r="11" spans="1:16" x14ac:dyDescent="0.2">
      <c r="A11" s="211"/>
      <c r="B11" s="212"/>
      <c r="C11" s="212"/>
      <c r="D11" s="212"/>
      <c r="E11" s="212"/>
      <c r="F11" s="212"/>
      <c r="G11" s="212"/>
      <c r="H11" s="212"/>
      <c r="I11" s="212"/>
      <c r="J11" s="212"/>
      <c r="K11" s="212"/>
      <c r="L11" s="212"/>
      <c r="M11" s="212"/>
      <c r="N11" s="212"/>
      <c r="O11" s="212"/>
      <c r="P11" s="213"/>
    </row>
    <row r="12" spans="1:16" ht="16" thickBot="1" x14ac:dyDescent="0.25">
      <c r="A12" s="203"/>
      <c r="B12" s="204"/>
      <c r="C12" s="204"/>
      <c r="D12" s="204"/>
      <c r="E12" s="204"/>
      <c r="F12" s="204"/>
      <c r="G12" s="204"/>
      <c r="H12" s="204"/>
      <c r="I12" s="204"/>
      <c r="J12" s="204"/>
      <c r="K12" s="204"/>
      <c r="L12" s="204"/>
      <c r="M12" s="204"/>
      <c r="N12" s="204"/>
      <c r="O12" s="204"/>
      <c r="P12" s="205"/>
    </row>
    <row r="13" spans="1:16" ht="10.25" customHeight="1" thickBot="1" x14ac:dyDescent="0.25">
      <c r="A13" s="116"/>
      <c r="B13" s="1"/>
      <c r="C13" s="1"/>
      <c r="D13" s="1"/>
      <c r="E13" s="1"/>
      <c r="F13" s="1"/>
      <c r="G13" s="1"/>
      <c r="H13" s="1"/>
      <c r="I13" s="1"/>
      <c r="J13" s="1"/>
      <c r="K13" s="1"/>
      <c r="L13" s="2"/>
      <c r="M13" s="2"/>
      <c r="N13" s="2"/>
      <c r="O13" s="2"/>
      <c r="P13" s="107"/>
    </row>
    <row r="14" spans="1:16" ht="17" thickTop="1" thickBot="1" x14ac:dyDescent="0.25">
      <c r="A14" s="117" t="s">
        <v>4</v>
      </c>
      <c r="B14" s="190"/>
      <c r="C14" s="190"/>
      <c r="D14" s="191"/>
      <c r="E14" s="167"/>
      <c r="F14" s="167"/>
      <c r="G14" s="167"/>
      <c r="H14" s="167"/>
      <c r="I14" s="167"/>
      <c r="J14" s="167"/>
      <c r="K14" s="167"/>
      <c r="L14" s="168"/>
      <c r="M14" s="168"/>
      <c r="N14" s="168"/>
      <c r="O14" s="168"/>
      <c r="P14" s="169"/>
    </row>
    <row r="15" spans="1:16" ht="16" thickBot="1" x14ac:dyDescent="0.25">
      <c r="A15" s="284" t="s">
        <v>5</v>
      </c>
      <c r="B15" s="286" t="s">
        <v>6</v>
      </c>
      <c r="C15" s="287"/>
      <c r="D15" s="290" t="s">
        <v>7</v>
      </c>
      <c r="E15" s="292" t="s">
        <v>8</v>
      </c>
      <c r="F15" s="293"/>
      <c r="G15" s="293"/>
      <c r="H15" s="293"/>
      <c r="I15" s="293"/>
      <c r="J15" s="293"/>
      <c r="K15" s="293"/>
      <c r="L15" s="293"/>
      <c r="M15" s="293"/>
      <c r="N15" s="293"/>
      <c r="O15" s="293"/>
      <c r="P15" s="294"/>
    </row>
    <row r="16" spans="1:16" ht="31" thickBot="1" x14ac:dyDescent="0.25">
      <c r="A16" s="285"/>
      <c r="B16" s="288"/>
      <c r="C16" s="289"/>
      <c r="D16" s="291"/>
      <c r="E16" s="148" t="s">
        <v>9</v>
      </c>
      <c r="F16" s="149" t="s">
        <v>10</v>
      </c>
      <c r="G16" s="148" t="s">
        <v>9</v>
      </c>
      <c r="H16" s="149" t="s">
        <v>11</v>
      </c>
      <c r="I16" s="148" t="s">
        <v>9</v>
      </c>
      <c r="J16" s="150" t="s">
        <v>12</v>
      </c>
      <c r="K16" s="151" t="s">
        <v>9</v>
      </c>
      <c r="L16" s="149" t="s">
        <v>13</v>
      </c>
      <c r="M16" s="148" t="s">
        <v>9</v>
      </c>
      <c r="N16" s="149" t="s">
        <v>14</v>
      </c>
      <c r="O16" s="148" t="s">
        <v>9</v>
      </c>
      <c r="P16" s="150" t="s">
        <v>15</v>
      </c>
    </row>
    <row r="17" spans="1:16" x14ac:dyDescent="0.2">
      <c r="A17" s="201"/>
      <c r="B17" s="196"/>
      <c r="C17" s="200"/>
      <c r="D17" s="198"/>
      <c r="E17" s="192"/>
      <c r="F17" s="170" t="str">
        <f>IF(ISNA(VLOOKUP($E17,'Budget Coding Reference Alph'!K:L,2,FALSE))," ",VLOOKUP($E17,'Budget Coding Reference Alph'!K:L,2,FALSE))</f>
        <v xml:space="preserve"> </v>
      </c>
      <c r="G17" s="192"/>
      <c r="H17" s="170" t="str">
        <f>IF(ISNA(VLOOKUP($G17,'Budget Coding Reference Alph'!C:D,2,FALSE))," ",VLOOKUP($G17,'Budget Coding Reference Alph'!C:D,2,FALSE))</f>
        <v xml:space="preserve"> </v>
      </c>
      <c r="I17" s="192"/>
      <c r="J17" s="170" t="str">
        <f>IF(ISNA(VLOOKUP($I17,'Budget Coding Reference Alph'!A:B,2,FALSE))," ",VLOOKUP($I17,'Budget Coding Reference Alph'!A:B,2,FALSE))</f>
        <v xml:space="preserve"> </v>
      </c>
      <c r="K17" s="192"/>
      <c r="L17" s="170" t="str">
        <f>IF(ISNA(VLOOKUP($K17,'Budget Coding Reference Alph'!E:F,2,FALSE))," ",VLOOKUP($K17,'Budget Coding Reference Alph'!E:F,2,FALSE))</f>
        <v xml:space="preserve"> </v>
      </c>
      <c r="M17" s="192"/>
      <c r="N17" s="170" t="str">
        <f>IF(ISNA(VLOOKUP($M17,'Budget Coding Reference Alph'!G:H,2,FALSE))," ",VLOOKUP($M17,'Budget Coding Reference Alph'!G:H,2,FALSE))</f>
        <v xml:space="preserve"> </v>
      </c>
      <c r="O17" s="192"/>
      <c r="P17" s="171" t="str">
        <f>IF(ISNA(VLOOKUP($O17,'Budget Coding Reference Alph'!I:J,2,FALSE))," ",VLOOKUP($O17,'Budget Coding Reference Alph'!I:J,2,FALSE))</f>
        <v xml:space="preserve"> </v>
      </c>
    </row>
    <row r="18" spans="1:16" ht="16" thickBot="1" x14ac:dyDescent="0.25">
      <c r="A18" s="202"/>
      <c r="B18" s="197"/>
      <c r="C18" s="200"/>
      <c r="D18" s="199"/>
      <c r="E18" s="9"/>
      <c r="F18" s="172" t="str">
        <f>IF(ISNA(VLOOKUP($E18,'Budget Coding Reference Alph'!K:L,2,FALSE))," ",VLOOKUP($E18,'Budget Coding Reference Alph'!K:L,2,FALSE))</f>
        <v xml:space="preserve"> </v>
      </c>
      <c r="G18" s="9"/>
      <c r="H18" s="172" t="str">
        <f>IF(ISNA(VLOOKUP($G18,'Budget Coding Reference Alph'!C:D,2,FALSE))," ",VLOOKUP($G18,'Budget Coding Reference Alph'!C:D,2,FALSE))</f>
        <v xml:space="preserve"> </v>
      </c>
      <c r="I18" s="9"/>
      <c r="J18" s="172" t="str">
        <f>IF(ISNA(VLOOKUP($I18,'Budget Coding Reference Alph'!A:B,2,FALSE))," ",VLOOKUP($I18,'Budget Coding Reference Alph'!A:B,2,FALSE))</f>
        <v xml:space="preserve"> </v>
      </c>
      <c r="K18" s="9"/>
      <c r="L18" s="172" t="str">
        <f>IF(ISNA(VLOOKUP($K18,'Budget Coding Reference Alph'!E:F,2,FALSE))," ",VLOOKUP($K18,'Budget Coding Reference Alph'!E:F,2,FALSE))</f>
        <v xml:space="preserve"> </v>
      </c>
      <c r="M18" s="9"/>
      <c r="N18" s="172" t="str">
        <f>IF(ISNA(VLOOKUP($M18,'Budget Coding Reference Alph'!G:H,2,FALSE))," ",VLOOKUP($M18,'Budget Coding Reference Alph'!G:H,2,FALSE))</f>
        <v xml:space="preserve"> </v>
      </c>
      <c r="O18" s="9"/>
      <c r="P18" s="173" t="str">
        <f>IF(ISNA(VLOOKUP($O18,'Budget Coding Reference Alph'!I:J,2,FALSE))," ",VLOOKUP($O18,'Budget Coding Reference Alph'!I:J,2,FALSE))</f>
        <v xml:space="preserve"> </v>
      </c>
    </row>
    <row r="19" spans="1:16" x14ac:dyDescent="0.2">
      <c r="A19" s="174" t="s">
        <v>16</v>
      </c>
      <c r="B19" s="175"/>
      <c r="C19" s="176" t="s">
        <v>17</v>
      </c>
      <c r="D19" s="177">
        <f>SUM(D17:D18)</f>
        <v>0</v>
      </c>
      <c r="E19" s="193"/>
      <c r="F19" s="194"/>
      <c r="G19" s="194"/>
      <c r="H19" s="195"/>
      <c r="I19" s="176"/>
      <c r="J19" s="178"/>
      <c r="K19" s="179"/>
      <c r="L19" s="180"/>
      <c r="M19" s="180"/>
      <c r="N19" s="180"/>
      <c r="O19" s="180"/>
      <c r="P19" s="181"/>
    </row>
    <row r="20" spans="1:16" x14ac:dyDescent="0.2">
      <c r="A20" s="182" t="s">
        <v>18</v>
      </c>
      <c r="B20" s="183"/>
      <c r="C20" s="184" t="s">
        <v>19</v>
      </c>
      <c r="D20" s="185"/>
      <c r="E20" s="214" t="s">
        <v>20</v>
      </c>
      <c r="F20" s="215"/>
      <c r="G20" s="215"/>
      <c r="H20" s="215"/>
      <c r="I20" s="215"/>
      <c r="J20" s="215"/>
      <c r="K20" s="215"/>
      <c r="L20" s="216"/>
      <c r="M20" s="186"/>
      <c r="N20" s="186"/>
      <c r="O20" s="186"/>
      <c r="P20" s="187"/>
    </row>
    <row r="21" spans="1:16" ht="26.5" customHeight="1" thickBot="1" x14ac:dyDescent="0.25">
      <c r="A21" s="220" t="s">
        <v>21</v>
      </c>
      <c r="B21" s="221"/>
      <c r="C21" s="188" t="s">
        <v>22</v>
      </c>
      <c r="D21" s="189">
        <f>D19-D20</f>
        <v>0</v>
      </c>
      <c r="E21" s="217" t="s">
        <v>23</v>
      </c>
      <c r="F21" s="218"/>
      <c r="G21" s="218"/>
      <c r="H21" s="218"/>
      <c r="I21" s="218"/>
      <c r="J21" s="218"/>
      <c r="K21" s="218"/>
      <c r="L21" s="219"/>
      <c r="M21" s="186"/>
      <c r="N21" s="186"/>
      <c r="O21" s="186"/>
      <c r="P21" s="187"/>
    </row>
    <row r="22" spans="1:16" x14ac:dyDescent="0.2">
      <c r="A22" s="222" t="s">
        <v>24</v>
      </c>
      <c r="B22" s="223"/>
      <c r="C22" s="223"/>
      <c r="D22" s="223"/>
      <c r="E22" s="223"/>
      <c r="F22" s="223"/>
      <c r="G22" s="223"/>
      <c r="H22" s="223"/>
      <c r="I22" s="223"/>
      <c r="J22" s="223"/>
      <c r="K22" s="223"/>
      <c r="L22" s="223"/>
      <c r="M22" s="223"/>
      <c r="N22" s="223"/>
      <c r="O22" s="223"/>
      <c r="P22" s="224"/>
    </row>
    <row r="23" spans="1:16" x14ac:dyDescent="0.2">
      <c r="A23" s="211"/>
      <c r="B23" s="212"/>
      <c r="C23" s="212"/>
      <c r="D23" s="212"/>
      <c r="E23" s="212"/>
      <c r="F23" s="212"/>
      <c r="G23" s="212"/>
      <c r="H23" s="212"/>
      <c r="I23" s="212"/>
      <c r="J23" s="212"/>
      <c r="K23" s="212"/>
      <c r="L23" s="212"/>
      <c r="M23" s="212"/>
      <c r="N23" s="212"/>
      <c r="O23" s="212"/>
      <c r="P23" s="213"/>
    </row>
    <row r="24" spans="1:16" x14ac:dyDescent="0.2">
      <c r="A24" s="225" t="s">
        <v>25</v>
      </c>
      <c r="B24" s="226"/>
      <c r="C24" s="226"/>
      <c r="D24" s="226"/>
      <c r="E24" s="226"/>
      <c r="F24" s="226"/>
      <c r="G24" s="226"/>
      <c r="H24" s="226"/>
      <c r="I24" s="226"/>
      <c r="J24" s="226"/>
      <c r="K24" s="226"/>
      <c r="L24" s="226"/>
      <c r="M24" s="226"/>
      <c r="N24" s="226"/>
      <c r="O24" s="226"/>
      <c r="P24" s="227"/>
    </row>
    <row r="25" spans="1:16" x14ac:dyDescent="0.2">
      <c r="A25" s="228"/>
      <c r="B25" s="229"/>
      <c r="C25" s="229"/>
      <c r="D25" s="229"/>
      <c r="E25" s="229"/>
      <c r="F25" s="229"/>
      <c r="G25" s="229"/>
      <c r="H25" s="229"/>
      <c r="I25" s="229"/>
      <c r="J25" s="229"/>
      <c r="K25" s="229"/>
      <c r="L25" s="229"/>
      <c r="M25" s="229"/>
      <c r="N25" s="229"/>
      <c r="O25" s="229"/>
      <c r="P25" s="230"/>
    </row>
    <row r="26" spans="1:16" s="2" customFormat="1" ht="10.25" customHeight="1" thickBot="1" x14ac:dyDescent="0.25">
      <c r="A26" s="231"/>
      <c r="B26" s="232"/>
      <c r="C26" s="232"/>
      <c r="D26" s="232"/>
      <c r="E26" s="232"/>
      <c r="F26" s="232"/>
      <c r="G26" s="232"/>
      <c r="H26" s="232"/>
      <c r="I26" s="232"/>
      <c r="J26" s="232"/>
      <c r="K26" s="232"/>
      <c r="L26" s="232"/>
      <c r="M26" s="232"/>
      <c r="N26" s="232"/>
      <c r="O26" s="232"/>
      <c r="P26" s="233"/>
    </row>
    <row r="27" spans="1:16" x14ac:dyDescent="0.2">
      <c r="A27" s="119"/>
      <c r="B27" s="120"/>
      <c r="C27" s="120"/>
      <c r="D27" s="120"/>
      <c r="E27" s="120"/>
      <c r="F27" s="120"/>
      <c r="G27" s="120"/>
      <c r="H27" s="120"/>
      <c r="I27" s="120"/>
      <c r="J27" s="120"/>
      <c r="K27" s="120"/>
      <c r="L27" s="105"/>
      <c r="M27" s="105"/>
      <c r="N27" s="105"/>
      <c r="O27" s="105"/>
      <c r="P27" s="106"/>
    </row>
    <row r="28" spans="1:16" ht="16" thickBot="1" x14ac:dyDescent="0.25">
      <c r="A28" s="117" t="s">
        <v>26</v>
      </c>
      <c r="B28" s="6"/>
      <c r="C28" s="6"/>
      <c r="D28" s="234" t="s">
        <v>27</v>
      </c>
      <c r="E28" s="234"/>
      <c r="F28" s="234"/>
      <c r="G28" s="234"/>
      <c r="H28" s="234"/>
      <c r="I28" s="234"/>
      <c r="J28" s="234"/>
      <c r="K28" s="234"/>
      <c r="L28" s="234"/>
      <c r="M28" s="234"/>
      <c r="N28" s="234"/>
      <c r="O28" s="234"/>
      <c r="P28" s="235"/>
    </row>
    <row r="29" spans="1:16" x14ac:dyDescent="0.2">
      <c r="A29" s="236" t="s">
        <v>28</v>
      </c>
      <c r="B29" s="237"/>
      <c r="C29" s="237"/>
      <c r="D29" s="238"/>
      <c r="E29" s="238" t="s">
        <v>29</v>
      </c>
      <c r="F29" s="238"/>
      <c r="G29" s="238"/>
      <c r="H29" s="239" t="s">
        <v>30</v>
      </c>
      <c r="I29" s="226"/>
      <c r="J29" s="237"/>
      <c r="K29" s="118" t="s">
        <v>31</v>
      </c>
      <c r="L29" s="2"/>
      <c r="M29" s="2"/>
      <c r="N29" s="2"/>
      <c r="O29" s="2"/>
      <c r="P29" s="107"/>
    </row>
    <row r="30" spans="1:16" x14ac:dyDescent="0.2">
      <c r="A30" s="240"/>
      <c r="B30" s="241"/>
      <c r="C30" s="241"/>
      <c r="D30" s="242"/>
      <c r="E30" s="245"/>
      <c r="F30" s="246"/>
      <c r="G30" s="247"/>
      <c r="H30" s="251"/>
      <c r="I30" s="246"/>
      <c r="J30" s="247"/>
      <c r="K30" s="255"/>
      <c r="L30" s="2"/>
      <c r="M30" s="2"/>
      <c r="N30" s="2"/>
      <c r="O30" s="2"/>
      <c r="P30" s="107"/>
    </row>
    <row r="31" spans="1:16" x14ac:dyDescent="0.2">
      <c r="A31" s="243"/>
      <c r="B31" s="244"/>
      <c r="C31" s="244"/>
      <c r="D31" s="244"/>
      <c r="E31" s="248"/>
      <c r="F31" s="249"/>
      <c r="G31" s="250"/>
      <c r="H31" s="252"/>
      <c r="I31" s="253"/>
      <c r="J31" s="254"/>
      <c r="K31" s="256"/>
      <c r="L31" s="2"/>
      <c r="M31" s="2"/>
      <c r="N31" s="2"/>
      <c r="O31" s="2"/>
      <c r="P31" s="107"/>
    </row>
    <row r="32" spans="1:16" x14ac:dyDescent="0.2">
      <c r="A32" s="257" t="s">
        <v>733</v>
      </c>
      <c r="B32" s="258"/>
      <c r="C32" s="258"/>
      <c r="D32" s="259"/>
      <c r="E32" s="260" t="s">
        <v>734</v>
      </c>
      <c r="F32" s="260"/>
      <c r="G32" s="260"/>
      <c r="H32" s="261" t="s">
        <v>30</v>
      </c>
      <c r="I32" s="262"/>
      <c r="J32" s="263"/>
      <c r="K32" s="8" t="s">
        <v>31</v>
      </c>
      <c r="L32" s="2"/>
      <c r="M32" s="2"/>
      <c r="N32" s="2"/>
      <c r="O32" s="2"/>
      <c r="P32" s="107"/>
    </row>
    <row r="33" spans="1:16" x14ac:dyDescent="0.2">
      <c r="A33" s="319"/>
      <c r="B33" s="246"/>
      <c r="C33" s="246"/>
      <c r="D33" s="320"/>
      <c r="E33" s="278"/>
      <c r="F33" s="324"/>
      <c r="G33" s="325"/>
      <c r="H33" s="264"/>
      <c r="I33" s="241"/>
      <c r="J33" s="265"/>
      <c r="K33" s="269"/>
      <c r="L33" s="2"/>
      <c r="M33" s="2"/>
      <c r="N33" s="2"/>
      <c r="O33" s="2"/>
      <c r="P33" s="107"/>
    </row>
    <row r="34" spans="1:16" ht="16" thickBot="1" x14ac:dyDescent="0.25">
      <c r="A34" s="321"/>
      <c r="B34" s="322"/>
      <c r="C34" s="322"/>
      <c r="D34" s="323"/>
      <c r="E34" s="326"/>
      <c r="F34" s="327"/>
      <c r="G34" s="328"/>
      <c r="H34" s="266"/>
      <c r="I34" s="267"/>
      <c r="J34" s="268"/>
      <c r="K34" s="270"/>
      <c r="L34" s="122"/>
      <c r="M34" s="122"/>
      <c r="N34" s="122"/>
      <c r="O34" s="122"/>
      <c r="P34" s="123"/>
    </row>
    <row r="35" spans="1:16" hidden="1" x14ac:dyDescent="0.2">
      <c r="A35" s="236" t="s">
        <v>32</v>
      </c>
      <c r="B35" s="237"/>
      <c r="C35" s="237"/>
      <c r="D35" s="238"/>
      <c r="E35" s="238" t="s">
        <v>33</v>
      </c>
      <c r="F35" s="238"/>
      <c r="G35" s="238"/>
      <c r="H35" s="239" t="s">
        <v>30</v>
      </c>
      <c r="I35" s="226"/>
      <c r="J35" s="237"/>
      <c r="K35" s="118" t="s">
        <v>31</v>
      </c>
      <c r="L35" s="2"/>
      <c r="M35" s="2"/>
      <c r="N35" s="2"/>
      <c r="O35" s="2"/>
      <c r="P35" s="107"/>
    </row>
    <row r="36" spans="1:16" hidden="1" x14ac:dyDescent="0.2">
      <c r="A36" s="295"/>
      <c r="B36" s="296"/>
      <c r="C36" s="296"/>
      <c r="D36" s="297"/>
      <c r="E36" s="301"/>
      <c r="F36" s="302"/>
      <c r="G36" s="303"/>
      <c r="H36" s="264"/>
      <c r="I36" s="241"/>
      <c r="J36" s="265"/>
      <c r="K36" s="310"/>
      <c r="L36" s="2"/>
      <c r="M36" s="2"/>
      <c r="N36" s="2"/>
      <c r="O36" s="2"/>
      <c r="P36" s="107"/>
    </row>
    <row r="37" spans="1:16" ht="28.25" hidden="1" customHeight="1" x14ac:dyDescent="0.2">
      <c r="A37" s="298"/>
      <c r="B37" s="299"/>
      <c r="C37" s="299"/>
      <c r="D37" s="300"/>
      <c r="E37" s="304"/>
      <c r="F37" s="305"/>
      <c r="G37" s="306"/>
      <c r="H37" s="307"/>
      <c r="I37" s="308"/>
      <c r="J37" s="309"/>
      <c r="K37" s="311"/>
      <c r="L37" s="2"/>
      <c r="M37" s="2"/>
      <c r="N37" s="2"/>
      <c r="O37" s="2"/>
      <c r="P37" s="107"/>
    </row>
    <row r="38" spans="1:16" hidden="1" x14ac:dyDescent="0.2">
      <c r="A38" s="312" t="s">
        <v>34</v>
      </c>
      <c r="B38" s="313"/>
      <c r="C38" s="313"/>
      <c r="D38" s="314"/>
      <c r="E38" s="315" t="s">
        <v>35</v>
      </c>
      <c r="F38" s="316"/>
      <c r="G38" s="317"/>
      <c r="H38" s="315" t="s">
        <v>36</v>
      </c>
      <c r="I38" s="316"/>
      <c r="J38" s="316"/>
      <c r="K38" s="318"/>
      <c r="L38" s="2"/>
      <c r="M38" s="2"/>
      <c r="N38" s="2"/>
      <c r="O38" s="2"/>
      <c r="P38" s="107"/>
    </row>
    <row r="39" spans="1:16" hidden="1" x14ac:dyDescent="0.2">
      <c r="A39" s="271"/>
      <c r="B39" s="242"/>
      <c r="C39" s="242"/>
      <c r="D39" s="242"/>
      <c r="E39" s="274"/>
      <c r="F39" s="242"/>
      <c r="G39" s="275"/>
      <c r="H39" s="278"/>
      <c r="I39" s="279"/>
      <c r="J39" s="279"/>
      <c r="K39" s="280"/>
      <c r="L39" s="2"/>
      <c r="M39" s="2"/>
      <c r="N39" s="2"/>
      <c r="O39" s="2"/>
      <c r="P39" s="107"/>
    </row>
    <row r="40" spans="1:16" ht="16" hidden="1" thickBot="1" x14ac:dyDescent="0.25">
      <c r="A40" s="272"/>
      <c r="B40" s="273"/>
      <c r="C40" s="273"/>
      <c r="D40" s="273"/>
      <c r="E40" s="276"/>
      <c r="F40" s="273"/>
      <c r="G40" s="277"/>
      <c r="H40" s="281"/>
      <c r="I40" s="282"/>
      <c r="J40" s="282"/>
      <c r="K40" s="283"/>
      <c r="L40" s="121"/>
      <c r="M40" s="122"/>
      <c r="N40" s="122"/>
      <c r="O40" s="122"/>
      <c r="P40" s="123"/>
    </row>
  </sheetData>
  <mergeCells count="45">
    <mergeCell ref="A39:D40"/>
    <mergeCell ref="E39:G40"/>
    <mergeCell ref="H39:K40"/>
    <mergeCell ref="A15:A16"/>
    <mergeCell ref="B15:C16"/>
    <mergeCell ref="D15:D16"/>
    <mergeCell ref="E15:P15"/>
    <mergeCell ref="A36:D37"/>
    <mergeCell ref="E36:G37"/>
    <mergeCell ref="H36:J37"/>
    <mergeCell ref="K36:K37"/>
    <mergeCell ref="A38:D38"/>
    <mergeCell ref="E38:G38"/>
    <mergeCell ref="H38:K38"/>
    <mergeCell ref="A33:D34"/>
    <mergeCell ref="E33:G34"/>
    <mergeCell ref="H33:J34"/>
    <mergeCell ref="K33:K34"/>
    <mergeCell ref="A35:D35"/>
    <mergeCell ref="E35:G35"/>
    <mergeCell ref="H35:J35"/>
    <mergeCell ref="A30:D31"/>
    <mergeCell ref="E30:G31"/>
    <mergeCell ref="H30:J31"/>
    <mergeCell ref="K30:K31"/>
    <mergeCell ref="A32:D32"/>
    <mergeCell ref="E32:G32"/>
    <mergeCell ref="H32:J32"/>
    <mergeCell ref="A24:P24"/>
    <mergeCell ref="A25:P26"/>
    <mergeCell ref="D28:P28"/>
    <mergeCell ref="A29:D29"/>
    <mergeCell ref="E29:G29"/>
    <mergeCell ref="H29:J29"/>
    <mergeCell ref="E20:L20"/>
    <mergeCell ref="E21:L21"/>
    <mergeCell ref="A21:B21"/>
    <mergeCell ref="A23:P23"/>
    <mergeCell ref="A22:P22"/>
    <mergeCell ref="A12:P12"/>
    <mergeCell ref="E3:P6"/>
    <mergeCell ref="A8:P8"/>
    <mergeCell ref="A9:P9"/>
    <mergeCell ref="A10:P10"/>
    <mergeCell ref="A11:P11"/>
  </mergeCells>
  <phoneticPr fontId="7" type="noConversion"/>
  <pageMargins left="0.25" right="0.25" top="0.75" bottom="0.75" header="0.3" footer="0.3"/>
  <pageSetup scale="63" orientation="landscape" r:id="rId1"/>
  <headerFooter>
    <oddHeader>&amp;C&amp;"Calibri,Bold Italic"&amp;14FORM EXP2000</oddHead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DC83C91E-B905-4CC8-A8AE-931F74C5EBDC}">
          <x14:formula1>
            <xm:f>'Budget Coding Reference Alph'!$A$2:$A$34</xm:f>
          </x14:formula1>
          <xm:sqref>I17:I18</xm:sqref>
        </x14:dataValidation>
        <x14:dataValidation type="list" allowBlank="1" showInputMessage="1" showErrorMessage="1" xr:uid="{0400F6D5-A41B-45DA-9AEC-CFB3408774B2}">
          <x14:formula1>
            <xm:f>'Budget Coding Reference Alph'!$I$2:$I$88</xm:f>
          </x14:formula1>
          <xm:sqref>O17:O18</xm:sqref>
        </x14:dataValidation>
        <x14:dataValidation type="list" allowBlank="1" showInputMessage="1" showErrorMessage="1" xr:uid="{DB88C247-A360-4102-A869-8DFC7CFD1034}">
          <x14:formula1>
            <xm:f>'Budget Coding Reference Alph'!$C$2:$C$68</xm:f>
          </x14:formula1>
          <xm:sqref>G17:G18</xm:sqref>
        </x14:dataValidation>
        <x14:dataValidation type="list" allowBlank="1" showInputMessage="1" showErrorMessage="1" xr:uid="{7339E7DD-EB63-4097-A755-4BEAA9D31056}">
          <x14:formula1>
            <xm:f>'Budget Coding Reference Alph'!$K$2:$K$4</xm:f>
          </x14:formula1>
          <xm:sqref>E17:E18</xm:sqref>
        </x14:dataValidation>
        <x14:dataValidation type="list" allowBlank="1" showInputMessage="1" showErrorMessage="1" xr:uid="{9E200F87-DB67-4689-9DA6-50D3EF112F37}">
          <x14:formula1>
            <xm:f>'Budget Coding Reference Alph'!$E$2:$E$121</xm:f>
          </x14:formula1>
          <xm:sqref>K17:K18</xm:sqref>
        </x14:dataValidation>
        <x14:dataValidation type="list" allowBlank="1" showInputMessage="1" showErrorMessage="1" xr:uid="{7F685912-2CD9-47EA-8860-0AA3FC439ADE}">
          <x14:formula1>
            <xm:f>'Budget Coding Reference Alph'!$G$2:$G$77</xm:f>
          </x14:formula1>
          <xm:sqref>M17:M18</xm:sqref>
        </x14:dataValidation>
      </x14:dataValidations>
    </ext>
    <ext xmlns:mx="http://schemas.microsoft.com/office/mac/excel/2008/main" uri="{64002731-A6B0-56B0-2670-7721B7C09600}">
      <mx:PLV Mode="1" OnePage="0" WScale="86"/>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057F-6C74-4073-B0DC-2B26538138B7}">
  <sheetPr>
    <tabColor rgb="FF00FF00"/>
  </sheetPr>
  <dimension ref="A1:L348"/>
  <sheetViews>
    <sheetView topLeftCell="E1" zoomScale="70" zoomScaleNormal="70" workbookViewId="0">
      <pane ySplit="1" topLeftCell="A2" activePane="bottomLeft" state="frozen"/>
      <selection activeCell="C1" sqref="C1"/>
      <selection pane="bottomLeft" activeCell="K15" sqref="K15"/>
    </sheetView>
  </sheetViews>
  <sheetFormatPr baseColWidth="10" defaultColWidth="8.5" defaultRowHeight="21" x14ac:dyDescent="0.25"/>
  <cols>
    <col min="1" max="1" width="60.6640625" style="130" customWidth="1"/>
    <col min="2" max="2" width="19.5" style="154" customWidth="1"/>
    <col min="3" max="3" width="65.1640625" style="138" customWidth="1"/>
    <col min="4" max="4" width="22" style="154" bestFit="1" customWidth="1"/>
    <col min="5" max="5" width="79.1640625" style="139" customWidth="1"/>
    <col min="6" max="6" width="24.6640625" style="156" bestFit="1" customWidth="1"/>
    <col min="7" max="7" width="83.5" style="139" bestFit="1" customWidth="1"/>
    <col min="8" max="8" width="35" style="154" bestFit="1" customWidth="1"/>
    <col min="9" max="9" width="43.5" style="134" bestFit="1" customWidth="1"/>
    <col min="10" max="10" width="42.1640625" style="134" bestFit="1" customWidth="1"/>
    <col min="11" max="11" width="26.5" style="135" bestFit="1" customWidth="1"/>
    <col min="12" max="12" width="17.5" style="135" bestFit="1" customWidth="1"/>
    <col min="13" max="16384" width="8.5" style="135"/>
  </cols>
  <sheetData>
    <row r="1" spans="1:12" s="129" customFormat="1" ht="27" x14ac:dyDescent="0.45">
      <c r="A1" s="124" t="s">
        <v>190</v>
      </c>
      <c r="B1" s="153" t="s">
        <v>191</v>
      </c>
      <c r="C1" s="125" t="s">
        <v>192</v>
      </c>
      <c r="D1" s="160" t="s">
        <v>193</v>
      </c>
      <c r="E1" s="126" t="s">
        <v>194</v>
      </c>
      <c r="F1" s="164" t="s">
        <v>195</v>
      </c>
      <c r="G1" s="127" t="s">
        <v>737</v>
      </c>
      <c r="H1" s="166" t="s">
        <v>197</v>
      </c>
      <c r="I1" s="128" t="s">
        <v>196</v>
      </c>
      <c r="J1" s="128" t="s">
        <v>197</v>
      </c>
      <c r="K1" s="142" t="s">
        <v>198</v>
      </c>
      <c r="L1" s="143" t="s">
        <v>199</v>
      </c>
    </row>
    <row r="2" spans="1:12" x14ac:dyDescent="0.25">
      <c r="A2" s="137" t="s">
        <v>219</v>
      </c>
      <c r="B2" s="155">
        <v>810</v>
      </c>
      <c r="C2" s="132" t="s">
        <v>410</v>
      </c>
      <c r="D2" s="157">
        <v>65035</v>
      </c>
      <c r="E2" s="130" t="s">
        <v>200</v>
      </c>
      <c r="F2" s="154">
        <v>9999</v>
      </c>
      <c r="G2" s="132" t="s">
        <v>201</v>
      </c>
      <c r="H2" s="161">
        <v>9999999</v>
      </c>
      <c r="I2" s="139" t="s">
        <v>202</v>
      </c>
      <c r="J2" s="136">
        <v>99999999</v>
      </c>
      <c r="K2" s="162" t="s">
        <v>203</v>
      </c>
      <c r="L2" s="163" t="s">
        <v>204</v>
      </c>
    </row>
    <row r="3" spans="1:12" x14ac:dyDescent="0.25">
      <c r="A3" s="131" t="s">
        <v>401</v>
      </c>
      <c r="B3" s="155">
        <v>170</v>
      </c>
      <c r="C3" s="132" t="s">
        <v>411</v>
      </c>
      <c r="D3" s="157">
        <v>65050</v>
      </c>
      <c r="E3" s="130" t="s">
        <v>297</v>
      </c>
      <c r="F3" s="154">
        <v>1020</v>
      </c>
      <c r="G3" s="132" t="s">
        <v>205</v>
      </c>
      <c r="H3" s="161" t="s">
        <v>206</v>
      </c>
      <c r="I3" s="139" t="s">
        <v>207</v>
      </c>
      <c r="J3" s="139" t="s">
        <v>207</v>
      </c>
      <c r="K3" s="162" t="s">
        <v>208</v>
      </c>
      <c r="L3" s="163" t="s">
        <v>209</v>
      </c>
    </row>
    <row r="4" spans="1:12" x14ac:dyDescent="0.25">
      <c r="A4" s="131" t="s">
        <v>680</v>
      </c>
      <c r="B4" s="154">
        <v>410</v>
      </c>
      <c r="C4" s="132" t="s">
        <v>412</v>
      </c>
      <c r="D4" s="157">
        <v>69540</v>
      </c>
      <c r="E4" s="130" t="s">
        <v>686</v>
      </c>
      <c r="F4" s="154">
        <v>1040</v>
      </c>
      <c r="G4" s="132" t="s">
        <v>578</v>
      </c>
      <c r="H4" s="161" t="s">
        <v>579</v>
      </c>
      <c r="I4" s="139" t="s">
        <v>212</v>
      </c>
      <c r="J4" s="139" t="s">
        <v>212</v>
      </c>
      <c r="K4" s="162" t="s">
        <v>213</v>
      </c>
      <c r="L4" s="163" t="s">
        <v>214</v>
      </c>
    </row>
    <row r="5" spans="1:12" ht="22" x14ac:dyDescent="0.25">
      <c r="A5" s="131" t="s">
        <v>681</v>
      </c>
      <c r="B5" s="155">
        <v>420</v>
      </c>
      <c r="C5" s="133" t="s">
        <v>413</v>
      </c>
      <c r="D5" s="157">
        <v>69530</v>
      </c>
      <c r="E5" s="130" t="s">
        <v>542</v>
      </c>
      <c r="F5" s="154" t="s">
        <v>543</v>
      </c>
      <c r="G5" s="132" t="s">
        <v>210</v>
      </c>
      <c r="H5" s="161" t="s">
        <v>211</v>
      </c>
      <c r="I5" s="139" t="s">
        <v>217</v>
      </c>
      <c r="J5" s="139" t="s">
        <v>217</v>
      </c>
    </row>
    <row r="6" spans="1:12" x14ac:dyDescent="0.25">
      <c r="A6" s="130" t="s">
        <v>682</v>
      </c>
      <c r="B6" s="154">
        <v>460</v>
      </c>
      <c r="C6" s="132" t="s">
        <v>414</v>
      </c>
      <c r="D6" s="157">
        <v>69500</v>
      </c>
      <c r="E6" s="130" t="s">
        <v>722</v>
      </c>
      <c r="F6" s="154">
        <v>2010</v>
      </c>
      <c r="G6" s="132" t="s">
        <v>215</v>
      </c>
      <c r="H6" s="161" t="s">
        <v>216</v>
      </c>
      <c r="I6" s="139" t="s">
        <v>218</v>
      </c>
      <c r="J6" s="139" t="s">
        <v>218</v>
      </c>
    </row>
    <row r="7" spans="1:12" x14ac:dyDescent="0.25">
      <c r="A7" s="131" t="s">
        <v>683</v>
      </c>
      <c r="B7" s="154">
        <v>430</v>
      </c>
      <c r="C7" s="132" t="s">
        <v>415</v>
      </c>
      <c r="D7" s="157">
        <v>69900</v>
      </c>
      <c r="E7" s="130" t="s">
        <v>723</v>
      </c>
      <c r="F7" s="154">
        <v>2103</v>
      </c>
      <c r="G7" s="132" t="s">
        <v>220</v>
      </c>
      <c r="H7" s="161" t="s">
        <v>221</v>
      </c>
      <c r="I7" s="139" t="s">
        <v>558</v>
      </c>
      <c r="J7" s="139" t="s">
        <v>558</v>
      </c>
    </row>
    <row r="8" spans="1:12" x14ac:dyDescent="0.25">
      <c r="A8" s="131" t="s">
        <v>685</v>
      </c>
      <c r="B8" s="154">
        <v>450</v>
      </c>
      <c r="C8" s="130" t="s">
        <v>416</v>
      </c>
      <c r="D8" s="154">
        <v>69910</v>
      </c>
      <c r="E8" s="130" t="s">
        <v>724</v>
      </c>
      <c r="F8" s="154" t="s">
        <v>477</v>
      </c>
      <c r="G8" s="132" t="s">
        <v>226</v>
      </c>
      <c r="H8" s="161" t="s">
        <v>227</v>
      </c>
      <c r="I8" s="139" t="s">
        <v>222</v>
      </c>
      <c r="J8" s="139" t="s">
        <v>222</v>
      </c>
    </row>
    <row r="9" spans="1:12" x14ac:dyDescent="0.25">
      <c r="A9" s="131" t="s">
        <v>684</v>
      </c>
      <c r="B9" s="154">
        <v>440</v>
      </c>
      <c r="C9" s="132" t="s">
        <v>417</v>
      </c>
      <c r="D9" s="157">
        <v>69550</v>
      </c>
      <c r="E9" s="130" t="s">
        <v>725</v>
      </c>
      <c r="F9" s="154">
        <v>2223</v>
      </c>
      <c r="G9" s="132" t="s">
        <v>230</v>
      </c>
      <c r="H9" s="161" t="s">
        <v>231</v>
      </c>
      <c r="I9" s="139" t="s">
        <v>559</v>
      </c>
      <c r="J9" s="139" t="s">
        <v>559</v>
      </c>
    </row>
    <row r="10" spans="1:12" x14ac:dyDescent="0.25">
      <c r="A10" s="130" t="s">
        <v>223</v>
      </c>
      <c r="B10" s="154">
        <v>805</v>
      </c>
      <c r="C10" s="130" t="s">
        <v>418</v>
      </c>
      <c r="D10" s="154">
        <v>69520</v>
      </c>
      <c r="E10" s="130" t="s">
        <v>726</v>
      </c>
      <c r="F10" s="154" t="s">
        <v>482</v>
      </c>
      <c r="G10" s="132" t="s">
        <v>233</v>
      </c>
      <c r="H10" s="161" t="s">
        <v>234</v>
      </c>
      <c r="I10" s="139" t="s">
        <v>224</v>
      </c>
      <c r="J10" s="139" t="s">
        <v>224</v>
      </c>
    </row>
    <row r="11" spans="1:12" x14ac:dyDescent="0.25">
      <c r="A11" s="131" t="s">
        <v>229</v>
      </c>
      <c r="B11" s="154">
        <v>210</v>
      </c>
      <c r="C11" s="132" t="s">
        <v>419</v>
      </c>
      <c r="D11" s="157">
        <v>69560</v>
      </c>
      <c r="E11" s="130" t="s">
        <v>727</v>
      </c>
      <c r="F11" s="154">
        <v>2243</v>
      </c>
      <c r="G11" s="132" t="s">
        <v>246</v>
      </c>
      <c r="H11" s="161" t="s">
        <v>247</v>
      </c>
      <c r="I11" s="139" t="s">
        <v>225</v>
      </c>
      <c r="J11" s="139" t="s">
        <v>225</v>
      </c>
    </row>
    <row r="12" spans="1:12" x14ac:dyDescent="0.25">
      <c r="A12" s="131" t="s">
        <v>236</v>
      </c>
      <c r="B12" s="155">
        <v>160</v>
      </c>
      <c r="C12" s="132" t="s">
        <v>420</v>
      </c>
      <c r="D12" s="157">
        <v>69580</v>
      </c>
      <c r="E12" s="130" t="s">
        <v>728</v>
      </c>
      <c r="F12" s="154" t="s">
        <v>490</v>
      </c>
      <c r="G12" s="132" t="s">
        <v>634</v>
      </c>
      <c r="H12" s="161" t="s">
        <v>249</v>
      </c>
      <c r="I12" s="139" t="s">
        <v>228</v>
      </c>
      <c r="J12" s="139" t="s">
        <v>228</v>
      </c>
    </row>
    <row r="13" spans="1:12" x14ac:dyDescent="0.25">
      <c r="A13" s="131" t="s">
        <v>238</v>
      </c>
      <c r="B13" s="156">
        <v>120</v>
      </c>
      <c r="C13" s="132" t="s">
        <v>421</v>
      </c>
      <c r="D13" s="157">
        <v>69510</v>
      </c>
      <c r="E13" s="130" t="s">
        <v>729</v>
      </c>
      <c r="F13" s="154">
        <v>2263</v>
      </c>
      <c r="G13" s="132" t="s">
        <v>252</v>
      </c>
      <c r="H13" s="161" t="s">
        <v>253</v>
      </c>
      <c r="I13" s="139" t="s">
        <v>232</v>
      </c>
      <c r="J13" s="139" t="s">
        <v>232</v>
      </c>
    </row>
    <row r="14" spans="1:12" x14ac:dyDescent="0.25">
      <c r="A14" s="137" t="s">
        <v>240</v>
      </c>
      <c r="B14" s="155">
        <v>820</v>
      </c>
      <c r="C14" s="132" t="s">
        <v>422</v>
      </c>
      <c r="D14" s="157">
        <v>65040</v>
      </c>
      <c r="E14" s="130" t="s">
        <v>730</v>
      </c>
      <c r="F14" s="154" t="s">
        <v>538</v>
      </c>
      <c r="G14" s="132" t="s">
        <v>582</v>
      </c>
      <c r="H14" s="161" t="s">
        <v>583</v>
      </c>
      <c r="I14" s="139" t="s">
        <v>235</v>
      </c>
      <c r="J14" s="139" t="s">
        <v>235</v>
      </c>
    </row>
    <row r="15" spans="1:12" x14ac:dyDescent="0.25">
      <c r="A15" s="131" t="s">
        <v>243</v>
      </c>
      <c r="B15" s="156">
        <v>130</v>
      </c>
      <c r="C15" s="132" t="s">
        <v>423</v>
      </c>
      <c r="D15" s="157">
        <v>65030</v>
      </c>
      <c r="E15" s="130" t="s">
        <v>731</v>
      </c>
      <c r="F15" s="154">
        <v>2281</v>
      </c>
      <c r="G15" s="132" t="s">
        <v>580</v>
      </c>
      <c r="H15" s="161" t="s">
        <v>581</v>
      </c>
      <c r="I15" s="139" t="s">
        <v>560</v>
      </c>
      <c r="J15" s="139" t="s">
        <v>560</v>
      </c>
    </row>
    <row r="16" spans="1:12" x14ac:dyDescent="0.25">
      <c r="A16" s="131" t="s">
        <v>245</v>
      </c>
      <c r="B16" s="154">
        <v>150</v>
      </c>
      <c r="C16" s="132" t="s">
        <v>424</v>
      </c>
      <c r="D16" s="157">
        <v>51190</v>
      </c>
      <c r="E16" s="130" t="s">
        <v>732</v>
      </c>
      <c r="F16" s="154">
        <v>2282</v>
      </c>
      <c r="G16" s="132" t="s">
        <v>255</v>
      </c>
      <c r="H16" s="161" t="s">
        <v>256</v>
      </c>
      <c r="I16" s="139" t="s">
        <v>237</v>
      </c>
      <c r="J16" s="139" t="s">
        <v>237</v>
      </c>
    </row>
    <row r="17" spans="1:10" x14ac:dyDescent="0.25">
      <c r="A17" s="131" t="s">
        <v>404</v>
      </c>
      <c r="B17" s="154">
        <v>270</v>
      </c>
      <c r="C17" s="132" t="s">
        <v>425</v>
      </c>
      <c r="D17" s="157">
        <v>62110</v>
      </c>
      <c r="E17" s="130" t="s">
        <v>692</v>
      </c>
      <c r="F17" s="154">
        <v>2511</v>
      </c>
      <c r="G17" s="132" t="s">
        <v>258</v>
      </c>
      <c r="H17" s="161" t="s">
        <v>259</v>
      </c>
      <c r="I17" s="139" t="s">
        <v>239</v>
      </c>
      <c r="J17" s="139" t="s">
        <v>239</v>
      </c>
    </row>
    <row r="18" spans="1:10" ht="22" x14ac:dyDescent="0.25">
      <c r="A18" s="131" t="s">
        <v>403</v>
      </c>
      <c r="B18" s="154">
        <v>260</v>
      </c>
      <c r="C18" s="133" t="s">
        <v>637</v>
      </c>
      <c r="D18" s="157">
        <v>62115</v>
      </c>
      <c r="E18" s="130" t="s">
        <v>690</v>
      </c>
      <c r="F18" s="154" t="s">
        <v>483</v>
      </c>
      <c r="G18" s="132" t="s">
        <v>586</v>
      </c>
      <c r="H18" s="161" t="s">
        <v>587</v>
      </c>
      <c r="I18" s="139" t="s">
        <v>241</v>
      </c>
      <c r="J18" s="139" t="s">
        <v>241</v>
      </c>
    </row>
    <row r="19" spans="1:10" x14ac:dyDescent="0.25">
      <c r="A19" s="131" t="s">
        <v>251</v>
      </c>
      <c r="B19" s="154">
        <v>140</v>
      </c>
      <c r="C19" s="132" t="s">
        <v>426</v>
      </c>
      <c r="D19" s="157">
        <v>62100</v>
      </c>
      <c r="E19" s="130" t="s">
        <v>701</v>
      </c>
      <c r="F19" s="154">
        <v>2513</v>
      </c>
      <c r="G19" s="132" t="s">
        <v>584</v>
      </c>
      <c r="H19" s="161" t="s">
        <v>585</v>
      </c>
      <c r="I19" s="139" t="s">
        <v>242</v>
      </c>
      <c r="J19" s="139" t="s">
        <v>242</v>
      </c>
    </row>
    <row r="20" spans="1:10" x14ac:dyDescent="0.25">
      <c r="A20" s="131" t="s">
        <v>618</v>
      </c>
      <c r="B20" s="154">
        <v>110</v>
      </c>
      <c r="C20" s="132" t="s">
        <v>636</v>
      </c>
      <c r="D20" s="157">
        <v>62105</v>
      </c>
      <c r="E20" s="130" t="s">
        <v>702</v>
      </c>
      <c r="F20" s="154">
        <v>2514</v>
      </c>
      <c r="G20" s="132" t="s">
        <v>267</v>
      </c>
      <c r="H20" s="161" t="s">
        <v>268</v>
      </c>
      <c r="I20" s="139" t="s">
        <v>244</v>
      </c>
      <c r="J20" s="139" t="s">
        <v>244</v>
      </c>
    </row>
    <row r="21" spans="1:10" x14ac:dyDescent="0.25">
      <c r="A21" s="131" t="s">
        <v>405</v>
      </c>
      <c r="B21" s="154">
        <v>305</v>
      </c>
      <c r="C21" s="130" t="s">
        <v>427</v>
      </c>
      <c r="D21" s="154">
        <v>62120</v>
      </c>
      <c r="E21" s="130" t="s">
        <v>694</v>
      </c>
      <c r="F21" s="154">
        <v>2515</v>
      </c>
      <c r="G21" s="132" t="s">
        <v>595</v>
      </c>
      <c r="H21" s="161" t="s">
        <v>596</v>
      </c>
      <c r="I21" s="139" t="s">
        <v>248</v>
      </c>
      <c r="J21" s="139" t="s">
        <v>248</v>
      </c>
    </row>
    <row r="22" spans="1:10" x14ac:dyDescent="0.25">
      <c r="A22" s="131" t="s">
        <v>617</v>
      </c>
      <c r="B22" s="154">
        <v>340</v>
      </c>
      <c r="C22" s="132" t="s">
        <v>428</v>
      </c>
      <c r="D22" s="157">
        <v>62020</v>
      </c>
      <c r="E22" s="130" t="s">
        <v>691</v>
      </c>
      <c r="F22" s="154" t="s">
        <v>484</v>
      </c>
      <c r="G22" s="132" t="s">
        <v>588</v>
      </c>
      <c r="H22" s="161" t="s">
        <v>589</v>
      </c>
      <c r="I22" s="139" t="s">
        <v>250</v>
      </c>
      <c r="J22" s="139" t="s">
        <v>250</v>
      </c>
    </row>
    <row r="23" spans="1:10" x14ac:dyDescent="0.25">
      <c r="A23" s="131" t="s">
        <v>616</v>
      </c>
      <c r="B23" s="156">
        <v>350</v>
      </c>
      <c r="C23" s="132" t="s">
        <v>429</v>
      </c>
      <c r="D23" s="157">
        <v>62000</v>
      </c>
      <c r="E23" s="130" t="s">
        <v>699</v>
      </c>
      <c r="F23" s="154">
        <v>2527</v>
      </c>
      <c r="G23" s="132" t="s">
        <v>271</v>
      </c>
      <c r="H23" s="161" t="s">
        <v>272</v>
      </c>
      <c r="I23" s="139" t="s">
        <v>254</v>
      </c>
      <c r="J23" s="139" t="s">
        <v>254</v>
      </c>
    </row>
    <row r="24" spans="1:10" ht="22" x14ac:dyDescent="0.25">
      <c r="A24" s="131" t="s">
        <v>615</v>
      </c>
      <c r="B24" s="154">
        <v>310</v>
      </c>
      <c r="C24" s="133" t="s">
        <v>430</v>
      </c>
      <c r="D24" s="157">
        <v>62040</v>
      </c>
      <c r="E24" s="130" t="s">
        <v>700</v>
      </c>
      <c r="F24" s="154">
        <v>2528</v>
      </c>
      <c r="G24" s="132" t="s">
        <v>273</v>
      </c>
      <c r="H24" s="161" t="s">
        <v>274</v>
      </c>
      <c r="I24" s="139" t="s">
        <v>257</v>
      </c>
      <c r="J24" s="139" t="s">
        <v>257</v>
      </c>
    </row>
    <row r="25" spans="1:10" x14ac:dyDescent="0.25">
      <c r="A25" s="131" t="s">
        <v>614</v>
      </c>
      <c r="B25" s="154">
        <v>330</v>
      </c>
      <c r="C25" s="132" t="s">
        <v>431</v>
      </c>
      <c r="D25" s="157">
        <v>62030</v>
      </c>
      <c r="E25" s="130" t="s">
        <v>698</v>
      </c>
      <c r="F25" s="154">
        <v>2551</v>
      </c>
      <c r="G25" s="132" t="s">
        <v>277</v>
      </c>
      <c r="H25" s="161" t="s">
        <v>278</v>
      </c>
      <c r="I25" s="139" t="s">
        <v>260</v>
      </c>
      <c r="J25" s="139" t="s">
        <v>260</v>
      </c>
    </row>
    <row r="26" spans="1:10" x14ac:dyDescent="0.25">
      <c r="A26" s="131" t="s">
        <v>611</v>
      </c>
      <c r="B26" s="156">
        <v>320</v>
      </c>
      <c r="C26" s="130" t="s">
        <v>432</v>
      </c>
      <c r="D26" s="154">
        <v>62200</v>
      </c>
      <c r="E26" s="130" t="s">
        <v>693</v>
      </c>
      <c r="F26" s="154">
        <v>2552</v>
      </c>
      <c r="G26" s="132" t="s">
        <v>592</v>
      </c>
      <c r="H26" s="161" t="s">
        <v>280</v>
      </c>
      <c r="I26" s="139" t="s">
        <v>261</v>
      </c>
      <c r="J26" s="139" t="s">
        <v>261</v>
      </c>
    </row>
    <row r="27" spans="1:10" x14ac:dyDescent="0.25">
      <c r="A27" s="131" t="s">
        <v>613</v>
      </c>
      <c r="B27" s="154">
        <v>355</v>
      </c>
      <c r="C27" s="132" t="s">
        <v>433</v>
      </c>
      <c r="D27" s="157">
        <v>66020</v>
      </c>
      <c r="E27" s="130" t="s">
        <v>697</v>
      </c>
      <c r="F27" s="154">
        <v>2553</v>
      </c>
      <c r="G27" s="132" t="s">
        <v>590</v>
      </c>
      <c r="H27" s="161" t="s">
        <v>591</v>
      </c>
      <c r="I27" s="139" t="s">
        <v>262</v>
      </c>
      <c r="J27" s="139" t="s">
        <v>262</v>
      </c>
    </row>
    <row r="28" spans="1:10" x14ac:dyDescent="0.25">
      <c r="A28" s="131" t="s">
        <v>402</v>
      </c>
      <c r="B28" s="154">
        <v>360</v>
      </c>
      <c r="C28" s="132" t="s">
        <v>434</v>
      </c>
      <c r="D28" s="157">
        <v>65005</v>
      </c>
      <c r="E28" s="130" t="s">
        <v>687</v>
      </c>
      <c r="F28" s="154">
        <v>2576</v>
      </c>
      <c r="G28" s="132" t="s">
        <v>593</v>
      </c>
      <c r="H28" s="161" t="s">
        <v>594</v>
      </c>
      <c r="I28" s="139" t="s">
        <v>264</v>
      </c>
      <c r="J28" s="139" t="s">
        <v>264</v>
      </c>
    </row>
    <row r="29" spans="1:10" x14ac:dyDescent="0.25">
      <c r="A29" s="136" t="s">
        <v>407</v>
      </c>
      <c r="B29" s="156">
        <v>535</v>
      </c>
      <c r="C29" s="132" t="s">
        <v>435</v>
      </c>
      <c r="D29" s="157">
        <v>65000</v>
      </c>
      <c r="E29" s="130" t="s">
        <v>695</v>
      </c>
      <c r="F29" s="154">
        <v>2577</v>
      </c>
      <c r="G29" s="132" t="s">
        <v>282</v>
      </c>
      <c r="H29" s="161" t="s">
        <v>283</v>
      </c>
      <c r="I29" s="139" t="s">
        <v>561</v>
      </c>
      <c r="J29" s="139" t="s">
        <v>561</v>
      </c>
    </row>
    <row r="30" spans="1:10" x14ac:dyDescent="0.25">
      <c r="A30" s="131" t="s">
        <v>406</v>
      </c>
      <c r="B30" s="154">
        <v>530</v>
      </c>
      <c r="C30" s="132" t="s">
        <v>635</v>
      </c>
      <c r="D30" s="157">
        <v>62050</v>
      </c>
      <c r="E30" s="130" t="s">
        <v>689</v>
      </c>
      <c r="F30" s="154">
        <v>2578</v>
      </c>
      <c r="G30" s="132" t="s">
        <v>285</v>
      </c>
      <c r="H30" s="161" t="s">
        <v>286</v>
      </c>
      <c r="I30" s="139" t="s">
        <v>265</v>
      </c>
      <c r="J30" s="139" t="s">
        <v>265</v>
      </c>
    </row>
    <row r="31" spans="1:10" x14ac:dyDescent="0.25">
      <c r="A31" s="131" t="s">
        <v>263</v>
      </c>
      <c r="B31" s="156">
        <v>510</v>
      </c>
      <c r="C31" s="132" t="s">
        <v>436</v>
      </c>
      <c r="D31" s="157">
        <v>64550</v>
      </c>
      <c r="E31" s="130" t="s">
        <v>688</v>
      </c>
      <c r="F31" s="154">
        <v>2579</v>
      </c>
      <c r="G31" s="132" t="s">
        <v>289</v>
      </c>
      <c r="H31" s="161" t="s">
        <v>290</v>
      </c>
      <c r="I31" s="139" t="s">
        <v>266</v>
      </c>
      <c r="J31" s="139" t="s">
        <v>266</v>
      </c>
    </row>
    <row r="32" spans="1:10" x14ac:dyDescent="0.25">
      <c r="A32" s="130" t="s">
        <v>409</v>
      </c>
      <c r="B32" s="154">
        <v>545</v>
      </c>
      <c r="C32" s="132" t="s">
        <v>437</v>
      </c>
      <c r="D32" s="157">
        <v>65055</v>
      </c>
      <c r="E32" s="130" t="s">
        <v>696</v>
      </c>
      <c r="F32" s="154">
        <v>2580</v>
      </c>
      <c r="G32" s="132" t="s">
        <v>292</v>
      </c>
      <c r="H32" s="161" t="s">
        <v>293</v>
      </c>
      <c r="I32" s="139" t="s">
        <v>269</v>
      </c>
      <c r="J32" s="139" t="s">
        <v>269</v>
      </c>
    </row>
    <row r="33" spans="1:10" x14ac:dyDescent="0.25">
      <c r="A33" s="136" t="s">
        <v>408</v>
      </c>
      <c r="B33" s="156">
        <v>540</v>
      </c>
      <c r="C33" s="130" t="s">
        <v>438</v>
      </c>
      <c r="D33" s="154">
        <v>66030</v>
      </c>
      <c r="E33" s="130" t="s">
        <v>712</v>
      </c>
      <c r="F33" s="154">
        <v>2601</v>
      </c>
      <c r="G33" s="132" t="s">
        <v>295</v>
      </c>
      <c r="H33" s="161" t="s">
        <v>296</v>
      </c>
      <c r="I33" s="139" t="s">
        <v>270</v>
      </c>
      <c r="J33" s="139" t="s">
        <v>270</v>
      </c>
    </row>
    <row r="34" spans="1:10" ht="22" x14ac:dyDescent="0.25">
      <c r="A34" s="131" t="s">
        <v>612</v>
      </c>
      <c r="B34" s="154">
        <v>520</v>
      </c>
      <c r="C34" s="133" t="s">
        <v>439</v>
      </c>
      <c r="D34" s="161">
        <v>65010</v>
      </c>
      <c r="E34" s="130" t="s">
        <v>704</v>
      </c>
      <c r="F34" s="154">
        <v>2602</v>
      </c>
      <c r="G34" s="132" t="s">
        <v>299</v>
      </c>
      <c r="H34" s="161" t="s">
        <v>300</v>
      </c>
      <c r="I34" s="139" t="s">
        <v>275</v>
      </c>
      <c r="J34" s="139" t="s">
        <v>275</v>
      </c>
    </row>
    <row r="35" spans="1:10" ht="22" x14ac:dyDescent="0.25">
      <c r="A35" s="131"/>
      <c r="C35" s="133" t="s">
        <v>440</v>
      </c>
      <c r="D35" s="161">
        <v>65015</v>
      </c>
      <c r="E35" s="130" t="s">
        <v>706</v>
      </c>
      <c r="F35" s="154">
        <v>2603</v>
      </c>
      <c r="G35" s="132" t="s">
        <v>301</v>
      </c>
      <c r="H35" s="161" t="s">
        <v>302</v>
      </c>
      <c r="I35" s="139" t="s">
        <v>562</v>
      </c>
      <c r="J35" s="139" t="s">
        <v>562</v>
      </c>
    </row>
    <row r="36" spans="1:10" ht="22" x14ac:dyDescent="0.25">
      <c r="A36" s="136"/>
      <c r="B36" s="156"/>
      <c r="C36" s="133" t="s">
        <v>441</v>
      </c>
      <c r="D36" s="161">
        <v>64535</v>
      </c>
      <c r="E36" s="130" t="s">
        <v>708</v>
      </c>
      <c r="F36" s="154">
        <v>2604</v>
      </c>
      <c r="G36" s="132" t="s">
        <v>304</v>
      </c>
      <c r="H36" s="161" t="s">
        <v>305</v>
      </c>
      <c r="I36" s="139" t="s">
        <v>276</v>
      </c>
      <c r="J36" s="139" t="s">
        <v>276</v>
      </c>
    </row>
    <row r="37" spans="1:10" ht="22" x14ac:dyDescent="0.25">
      <c r="A37" s="136"/>
      <c r="B37" s="156"/>
      <c r="C37" s="133" t="s">
        <v>442</v>
      </c>
      <c r="D37" s="161">
        <v>65045</v>
      </c>
      <c r="E37" s="130" t="s">
        <v>707</v>
      </c>
      <c r="F37" s="154">
        <v>2605</v>
      </c>
      <c r="G37" s="132" t="s">
        <v>307</v>
      </c>
      <c r="H37" s="161" t="s">
        <v>308</v>
      </c>
      <c r="I37" s="139" t="s">
        <v>563</v>
      </c>
      <c r="J37" s="139" t="s">
        <v>563</v>
      </c>
    </row>
    <row r="38" spans="1:10" ht="22" x14ac:dyDescent="0.25">
      <c r="A38" s="137"/>
      <c r="B38" s="155"/>
      <c r="C38" s="133" t="s">
        <v>443</v>
      </c>
      <c r="D38" s="161">
        <v>66000</v>
      </c>
      <c r="E38" s="130" t="s">
        <v>703</v>
      </c>
      <c r="F38" s="154">
        <v>2606</v>
      </c>
      <c r="G38" s="132" t="s">
        <v>309</v>
      </c>
      <c r="H38" s="161" t="s">
        <v>310</v>
      </c>
      <c r="I38" s="139" t="s">
        <v>279</v>
      </c>
      <c r="J38" s="139" t="s">
        <v>279</v>
      </c>
    </row>
    <row r="39" spans="1:10" ht="22" x14ac:dyDescent="0.25">
      <c r="A39" s="133"/>
      <c r="B39" s="157"/>
      <c r="C39" s="133" t="s">
        <v>444</v>
      </c>
      <c r="D39" s="161">
        <v>66010</v>
      </c>
      <c r="E39" s="130" t="s">
        <v>705</v>
      </c>
      <c r="F39" s="154">
        <v>2607</v>
      </c>
      <c r="G39" s="132" t="s">
        <v>312</v>
      </c>
      <c r="H39" s="161" t="s">
        <v>313</v>
      </c>
      <c r="I39" s="139" t="s">
        <v>564</v>
      </c>
      <c r="J39" s="139" t="s">
        <v>564</v>
      </c>
    </row>
    <row r="40" spans="1:10" ht="22" x14ac:dyDescent="0.25">
      <c r="C40" s="133" t="s">
        <v>445</v>
      </c>
      <c r="D40" s="157">
        <v>51185</v>
      </c>
      <c r="E40" s="130" t="s">
        <v>713</v>
      </c>
      <c r="F40" s="154">
        <v>2608</v>
      </c>
      <c r="G40" s="132" t="s">
        <v>314</v>
      </c>
      <c r="H40" s="161" t="s">
        <v>315</v>
      </c>
      <c r="I40" s="139" t="s">
        <v>565</v>
      </c>
      <c r="J40" s="139" t="s">
        <v>565</v>
      </c>
    </row>
    <row r="41" spans="1:10" ht="22" x14ac:dyDescent="0.25">
      <c r="A41" s="136"/>
      <c r="B41" s="156"/>
      <c r="C41" s="133" t="s">
        <v>446</v>
      </c>
      <c r="D41" s="161">
        <v>69030</v>
      </c>
      <c r="E41" s="130" t="s">
        <v>710</v>
      </c>
      <c r="F41" s="154">
        <v>2609</v>
      </c>
      <c r="G41" s="132" t="s">
        <v>316</v>
      </c>
      <c r="H41" s="161" t="s">
        <v>317</v>
      </c>
      <c r="I41" s="139" t="s">
        <v>566</v>
      </c>
      <c r="J41" s="139" t="s">
        <v>566</v>
      </c>
    </row>
    <row r="42" spans="1:10" x14ac:dyDescent="0.25">
      <c r="C42" s="130" t="s">
        <v>447</v>
      </c>
      <c r="D42" s="154">
        <v>69000</v>
      </c>
      <c r="E42" s="130" t="s">
        <v>711</v>
      </c>
      <c r="F42" s="154">
        <v>2610</v>
      </c>
      <c r="G42" s="132" t="s">
        <v>319</v>
      </c>
      <c r="H42" s="161" t="s">
        <v>320</v>
      </c>
      <c r="I42" s="139" t="s">
        <v>567</v>
      </c>
      <c r="J42" s="139" t="s">
        <v>567</v>
      </c>
    </row>
    <row r="43" spans="1:10" ht="22" x14ac:dyDescent="0.25">
      <c r="A43" s="136"/>
      <c r="B43" s="156"/>
      <c r="C43" s="133" t="s">
        <v>448</v>
      </c>
      <c r="D43" s="161">
        <v>69050</v>
      </c>
      <c r="E43" s="130" t="s">
        <v>709</v>
      </c>
      <c r="F43" s="154">
        <v>2611</v>
      </c>
      <c r="G43" s="132" t="s">
        <v>322</v>
      </c>
      <c r="H43" s="161" t="s">
        <v>323</v>
      </c>
      <c r="I43" s="139" t="s">
        <v>281</v>
      </c>
      <c r="J43" s="139" t="s">
        <v>281</v>
      </c>
    </row>
    <row r="44" spans="1:10" x14ac:dyDescent="0.25">
      <c r="A44" s="131"/>
      <c r="B44" s="155"/>
      <c r="C44" s="130" t="s">
        <v>449</v>
      </c>
      <c r="D44" s="154">
        <v>69040</v>
      </c>
      <c r="E44" s="130" t="s">
        <v>714</v>
      </c>
      <c r="F44" s="154">
        <v>2612</v>
      </c>
      <c r="G44" s="132" t="s">
        <v>325</v>
      </c>
      <c r="H44" s="161" t="s">
        <v>326</v>
      </c>
      <c r="I44" s="139" t="s">
        <v>284</v>
      </c>
      <c r="J44" s="139" t="s">
        <v>284</v>
      </c>
    </row>
    <row r="45" spans="1:10" ht="22" x14ac:dyDescent="0.25">
      <c r="C45" s="133" t="s">
        <v>450</v>
      </c>
      <c r="D45" s="157">
        <v>69020</v>
      </c>
      <c r="E45" s="130" t="s">
        <v>715</v>
      </c>
      <c r="F45" s="154">
        <v>3001</v>
      </c>
      <c r="G45" s="132" t="s">
        <v>328</v>
      </c>
      <c r="H45" s="161" t="s">
        <v>329</v>
      </c>
      <c r="I45" s="139" t="s">
        <v>287</v>
      </c>
      <c r="J45" s="139" t="s">
        <v>287</v>
      </c>
    </row>
    <row r="46" spans="1:10" ht="22" x14ac:dyDescent="0.25">
      <c r="A46" s="136"/>
      <c r="B46" s="156"/>
      <c r="C46" s="133" t="s">
        <v>451</v>
      </c>
      <c r="D46" s="161">
        <v>69060</v>
      </c>
      <c r="E46" s="130" t="s">
        <v>716</v>
      </c>
      <c r="F46" s="154">
        <v>3002</v>
      </c>
      <c r="G46" s="132" t="s">
        <v>331</v>
      </c>
      <c r="H46" s="161" t="s">
        <v>332</v>
      </c>
      <c r="I46" s="139" t="s">
        <v>288</v>
      </c>
      <c r="J46" s="139" t="s">
        <v>288</v>
      </c>
    </row>
    <row r="47" spans="1:10" ht="22" x14ac:dyDescent="0.25">
      <c r="C47" s="133" t="s">
        <v>452</v>
      </c>
      <c r="D47" s="161">
        <v>69080</v>
      </c>
      <c r="E47" s="130" t="s">
        <v>717</v>
      </c>
      <c r="F47" s="154">
        <v>3003</v>
      </c>
      <c r="G47" s="132" t="s">
        <v>333</v>
      </c>
      <c r="H47" s="161" t="s">
        <v>334</v>
      </c>
      <c r="I47" s="139" t="s">
        <v>291</v>
      </c>
      <c r="J47" s="139" t="s">
        <v>291</v>
      </c>
    </row>
    <row r="48" spans="1:10" ht="22" x14ac:dyDescent="0.25">
      <c r="C48" s="133" t="s">
        <v>453</v>
      </c>
      <c r="D48" s="161">
        <v>69010</v>
      </c>
      <c r="E48" s="130" t="s">
        <v>718</v>
      </c>
      <c r="F48" s="154">
        <v>3004</v>
      </c>
      <c r="G48" s="132" t="s">
        <v>336</v>
      </c>
      <c r="H48" s="161" t="s">
        <v>337</v>
      </c>
      <c r="I48" s="139" t="s">
        <v>294</v>
      </c>
      <c r="J48" s="139" t="s">
        <v>294</v>
      </c>
    </row>
    <row r="49" spans="1:10" x14ac:dyDescent="0.25">
      <c r="A49" s="136"/>
      <c r="B49" s="156"/>
      <c r="C49" s="130" t="s">
        <v>454</v>
      </c>
      <c r="D49" s="154">
        <v>65020</v>
      </c>
      <c r="E49" s="130" t="s">
        <v>719</v>
      </c>
      <c r="F49" s="154">
        <v>3005</v>
      </c>
      <c r="G49" s="132" t="s">
        <v>338</v>
      </c>
      <c r="H49" s="161" t="s">
        <v>339</v>
      </c>
      <c r="I49" s="139" t="s">
        <v>298</v>
      </c>
      <c r="J49" s="139" t="s">
        <v>298</v>
      </c>
    </row>
    <row r="50" spans="1:10" ht="22" x14ac:dyDescent="0.25">
      <c r="C50" s="133" t="s">
        <v>455</v>
      </c>
      <c r="D50" s="161">
        <v>65025</v>
      </c>
      <c r="E50" s="130" t="s">
        <v>720</v>
      </c>
      <c r="F50" s="154">
        <v>3006</v>
      </c>
      <c r="G50" s="132" t="s">
        <v>340</v>
      </c>
      <c r="H50" s="161" t="s">
        <v>341</v>
      </c>
      <c r="I50" s="139" t="s">
        <v>303</v>
      </c>
      <c r="J50" s="139" t="s">
        <v>303</v>
      </c>
    </row>
    <row r="51" spans="1:10" ht="22" x14ac:dyDescent="0.25">
      <c r="C51" s="133" t="s">
        <v>456</v>
      </c>
      <c r="D51" s="161">
        <v>62210</v>
      </c>
      <c r="E51" s="130" t="s">
        <v>721</v>
      </c>
      <c r="F51" s="154">
        <v>3007</v>
      </c>
      <c r="G51" s="132" t="s">
        <v>603</v>
      </c>
      <c r="H51" s="161" t="s">
        <v>604</v>
      </c>
      <c r="I51" s="139" t="s">
        <v>568</v>
      </c>
      <c r="J51" s="139" t="s">
        <v>568</v>
      </c>
    </row>
    <row r="52" spans="1:10" ht="22" x14ac:dyDescent="0.25">
      <c r="C52" s="133" t="s">
        <v>457</v>
      </c>
      <c r="D52" s="161">
        <v>68130</v>
      </c>
      <c r="E52" s="130" t="s">
        <v>643</v>
      </c>
      <c r="F52" s="154">
        <v>4001</v>
      </c>
      <c r="G52" s="132" t="s">
        <v>601</v>
      </c>
      <c r="H52" s="161" t="s">
        <v>602</v>
      </c>
      <c r="I52" s="139" t="s">
        <v>306</v>
      </c>
      <c r="J52" s="139" t="s">
        <v>306</v>
      </c>
    </row>
    <row r="53" spans="1:10" ht="22" x14ac:dyDescent="0.25">
      <c r="C53" s="133" t="s">
        <v>458</v>
      </c>
      <c r="D53" s="161">
        <v>68230</v>
      </c>
      <c r="E53" s="130" t="s">
        <v>644</v>
      </c>
      <c r="F53" s="154">
        <v>4002</v>
      </c>
      <c r="G53" s="132" t="s">
        <v>605</v>
      </c>
      <c r="H53" s="161" t="s">
        <v>606</v>
      </c>
      <c r="I53" s="139" t="s">
        <v>311</v>
      </c>
      <c r="J53" s="139" t="s">
        <v>311</v>
      </c>
    </row>
    <row r="54" spans="1:10" ht="22" x14ac:dyDescent="0.25">
      <c r="C54" s="133" t="s">
        <v>459</v>
      </c>
      <c r="D54" s="157">
        <v>68030</v>
      </c>
      <c r="E54" s="130" t="s">
        <v>646</v>
      </c>
      <c r="F54" s="154">
        <v>4003</v>
      </c>
      <c r="G54" s="132" t="s">
        <v>597</v>
      </c>
      <c r="H54" s="161" t="s">
        <v>598</v>
      </c>
      <c r="I54" s="139" t="s">
        <v>318</v>
      </c>
      <c r="J54" s="139" t="s">
        <v>318</v>
      </c>
    </row>
    <row r="55" spans="1:10" ht="22" x14ac:dyDescent="0.25">
      <c r="C55" s="133" t="s">
        <v>460</v>
      </c>
      <c r="D55" s="161">
        <v>68110</v>
      </c>
      <c r="E55" s="130" t="s">
        <v>647</v>
      </c>
      <c r="F55" s="154">
        <v>4004</v>
      </c>
      <c r="G55" s="132" t="s">
        <v>599</v>
      </c>
      <c r="H55" s="161" t="s">
        <v>600</v>
      </c>
      <c r="I55" s="139" t="s">
        <v>321</v>
      </c>
      <c r="J55" s="139" t="s">
        <v>321</v>
      </c>
    </row>
    <row r="56" spans="1:10" ht="22" x14ac:dyDescent="0.25">
      <c r="C56" s="133" t="s">
        <v>461</v>
      </c>
      <c r="D56" s="161">
        <v>68210</v>
      </c>
      <c r="E56" s="130" t="s">
        <v>661</v>
      </c>
      <c r="F56" s="154">
        <v>4005</v>
      </c>
      <c r="G56" s="132" t="s">
        <v>736</v>
      </c>
      <c r="H56" s="161" t="s">
        <v>735</v>
      </c>
      <c r="I56" s="139" t="s">
        <v>324</v>
      </c>
      <c r="J56" s="139" t="s">
        <v>324</v>
      </c>
    </row>
    <row r="57" spans="1:10" ht="22" x14ac:dyDescent="0.25">
      <c r="C57" s="133" t="s">
        <v>462</v>
      </c>
      <c r="D57" s="161">
        <v>68010</v>
      </c>
      <c r="E57" s="130" t="s">
        <v>674</v>
      </c>
      <c r="F57" s="154">
        <v>4006</v>
      </c>
      <c r="G57" s="132" t="s">
        <v>343</v>
      </c>
      <c r="H57" s="161" t="s">
        <v>344</v>
      </c>
      <c r="I57" s="139" t="s">
        <v>327</v>
      </c>
      <c r="J57" s="139" t="s">
        <v>327</v>
      </c>
    </row>
    <row r="58" spans="1:10" ht="22" x14ac:dyDescent="0.25">
      <c r="C58" s="133" t="s">
        <v>463</v>
      </c>
      <c r="D58" s="161">
        <v>68120</v>
      </c>
      <c r="E58" s="130" t="s">
        <v>678</v>
      </c>
      <c r="F58" s="154">
        <v>4007</v>
      </c>
      <c r="G58" s="132" t="s">
        <v>346</v>
      </c>
      <c r="H58" s="161" t="s">
        <v>347</v>
      </c>
      <c r="I58" s="139" t="s">
        <v>330</v>
      </c>
      <c r="J58" s="139" t="s">
        <v>330</v>
      </c>
    </row>
    <row r="59" spans="1:10" ht="22" x14ac:dyDescent="0.25">
      <c r="C59" s="133" t="s">
        <v>464</v>
      </c>
      <c r="D59" s="161">
        <v>68220</v>
      </c>
      <c r="E59" s="130" t="s">
        <v>638</v>
      </c>
      <c r="F59" s="154" t="s">
        <v>476</v>
      </c>
      <c r="G59" s="132" t="s">
        <v>607</v>
      </c>
      <c r="H59" s="161" t="s">
        <v>608</v>
      </c>
      <c r="I59" s="139" t="s">
        <v>335</v>
      </c>
      <c r="J59" s="139" t="s">
        <v>335</v>
      </c>
    </row>
    <row r="60" spans="1:10" ht="22" x14ac:dyDescent="0.25">
      <c r="C60" s="133" t="s">
        <v>465</v>
      </c>
      <c r="D60" s="161">
        <v>68020</v>
      </c>
      <c r="E60" s="130" t="s">
        <v>639</v>
      </c>
      <c r="F60" s="154" t="s">
        <v>474</v>
      </c>
      <c r="G60" s="132" t="s">
        <v>352</v>
      </c>
      <c r="H60" s="161" t="s">
        <v>353</v>
      </c>
      <c r="I60" s="139" t="s">
        <v>342</v>
      </c>
      <c r="J60" s="139" t="s">
        <v>342</v>
      </c>
    </row>
    <row r="61" spans="1:10" ht="22" x14ac:dyDescent="0.25">
      <c r="C61" s="133" t="s">
        <v>466</v>
      </c>
      <c r="D61" s="161">
        <v>68140</v>
      </c>
      <c r="E61" s="130" t="s">
        <v>640</v>
      </c>
      <c r="F61" s="154" t="s">
        <v>475</v>
      </c>
      <c r="G61" s="132" t="s">
        <v>355</v>
      </c>
      <c r="H61" s="161" t="s">
        <v>356</v>
      </c>
      <c r="I61" s="139" t="s">
        <v>345</v>
      </c>
      <c r="J61" s="139" t="s">
        <v>345</v>
      </c>
    </row>
    <row r="62" spans="1:10" ht="22" x14ac:dyDescent="0.25">
      <c r="C62" s="133" t="s">
        <v>467</v>
      </c>
      <c r="D62" s="161">
        <v>68240</v>
      </c>
      <c r="E62" s="130" t="s">
        <v>641</v>
      </c>
      <c r="F62" s="154" t="s">
        <v>478</v>
      </c>
      <c r="G62" s="132" t="s">
        <v>357</v>
      </c>
      <c r="H62" s="161" t="s">
        <v>358</v>
      </c>
      <c r="I62" s="139" t="s">
        <v>348</v>
      </c>
      <c r="J62" s="139" t="s">
        <v>348</v>
      </c>
    </row>
    <row r="63" spans="1:10" ht="22" x14ac:dyDescent="0.25">
      <c r="C63" s="133" t="s">
        <v>468</v>
      </c>
      <c r="D63" s="161">
        <v>68040</v>
      </c>
      <c r="E63" s="130" t="s">
        <v>642</v>
      </c>
      <c r="F63" s="154" t="s">
        <v>481</v>
      </c>
      <c r="G63" s="132" t="s">
        <v>360</v>
      </c>
      <c r="H63" s="161" t="s">
        <v>361</v>
      </c>
      <c r="I63" s="139" t="s">
        <v>349</v>
      </c>
      <c r="J63" s="139" t="s">
        <v>349</v>
      </c>
    </row>
    <row r="64" spans="1:10" ht="22" x14ac:dyDescent="0.25">
      <c r="C64" s="133" t="s">
        <v>469</v>
      </c>
      <c r="D64" s="161">
        <v>68100</v>
      </c>
      <c r="E64" s="130" t="s">
        <v>645</v>
      </c>
      <c r="F64" s="154" t="s">
        <v>485</v>
      </c>
      <c r="G64" s="132" t="s">
        <v>363</v>
      </c>
      <c r="H64" s="161" t="s">
        <v>364</v>
      </c>
      <c r="I64" s="139" t="s">
        <v>350</v>
      </c>
      <c r="J64" s="139" t="s">
        <v>350</v>
      </c>
    </row>
    <row r="65" spans="3:10" ht="22" x14ac:dyDescent="0.25">
      <c r="C65" s="133" t="s">
        <v>470</v>
      </c>
      <c r="D65" s="161">
        <v>68200</v>
      </c>
      <c r="E65" s="130" t="s">
        <v>648</v>
      </c>
      <c r="F65" s="154" t="s">
        <v>486</v>
      </c>
      <c r="G65" s="132" t="s">
        <v>368</v>
      </c>
      <c r="H65" s="161" t="s">
        <v>369</v>
      </c>
      <c r="I65" s="139" t="s">
        <v>351</v>
      </c>
      <c r="J65" s="139" t="s">
        <v>351</v>
      </c>
    </row>
    <row r="66" spans="3:10" ht="22" x14ac:dyDescent="0.25">
      <c r="C66" s="133" t="s">
        <v>471</v>
      </c>
      <c r="D66" s="161">
        <v>68000</v>
      </c>
      <c r="E66" s="130" t="s">
        <v>649</v>
      </c>
      <c r="F66" s="154" t="s">
        <v>487</v>
      </c>
      <c r="G66" s="132" t="s">
        <v>370</v>
      </c>
      <c r="H66" s="161" t="s">
        <v>371</v>
      </c>
      <c r="I66" s="139" t="s">
        <v>354</v>
      </c>
      <c r="J66" s="139" t="s">
        <v>354</v>
      </c>
    </row>
    <row r="67" spans="3:10" ht="22" x14ac:dyDescent="0.25">
      <c r="C67" s="133" t="s">
        <v>472</v>
      </c>
      <c r="D67" s="161">
        <v>51180</v>
      </c>
      <c r="E67" s="130" t="s">
        <v>650</v>
      </c>
      <c r="F67" s="154" t="s">
        <v>489</v>
      </c>
      <c r="G67" s="132" t="s">
        <v>373</v>
      </c>
      <c r="H67" s="161" t="s">
        <v>374</v>
      </c>
      <c r="I67" s="139" t="s">
        <v>569</v>
      </c>
      <c r="J67" s="139" t="s">
        <v>569</v>
      </c>
    </row>
    <row r="68" spans="3:10" ht="22" x14ac:dyDescent="0.25">
      <c r="C68" s="133" t="s">
        <v>473</v>
      </c>
      <c r="D68" s="161">
        <v>62220</v>
      </c>
      <c r="E68" s="130" t="s">
        <v>651</v>
      </c>
      <c r="F68" s="154" t="s">
        <v>488</v>
      </c>
      <c r="G68" s="132" t="s">
        <v>376</v>
      </c>
      <c r="H68" s="161" t="s">
        <v>377</v>
      </c>
      <c r="I68" s="139" t="s">
        <v>570</v>
      </c>
      <c r="J68" s="139" t="s">
        <v>570</v>
      </c>
    </row>
    <row r="69" spans="3:10" x14ac:dyDescent="0.25">
      <c r="C69" s="130"/>
      <c r="E69" s="130" t="s">
        <v>652</v>
      </c>
      <c r="F69" s="154" t="s">
        <v>491</v>
      </c>
      <c r="G69" s="132" t="s">
        <v>379</v>
      </c>
      <c r="H69" s="161" t="s">
        <v>380</v>
      </c>
      <c r="I69" s="139" t="s">
        <v>359</v>
      </c>
      <c r="J69" s="139" t="s">
        <v>359</v>
      </c>
    </row>
    <row r="70" spans="3:10" x14ac:dyDescent="0.25">
      <c r="C70" s="132"/>
      <c r="D70" s="157"/>
      <c r="E70" s="130" t="s">
        <v>653</v>
      </c>
      <c r="F70" s="154" t="s">
        <v>493</v>
      </c>
      <c r="G70" s="132" t="s">
        <v>382</v>
      </c>
      <c r="H70" s="161" t="s">
        <v>383</v>
      </c>
      <c r="I70" s="139" t="s">
        <v>362</v>
      </c>
      <c r="J70" s="139" t="s">
        <v>362</v>
      </c>
    </row>
    <row r="71" spans="3:10" x14ac:dyDescent="0.25">
      <c r="C71" s="130"/>
      <c r="E71" s="130" t="s">
        <v>654</v>
      </c>
      <c r="F71" s="154" t="s">
        <v>492</v>
      </c>
      <c r="G71" s="132" t="s">
        <v>385</v>
      </c>
      <c r="H71" s="161" t="s">
        <v>386</v>
      </c>
      <c r="I71" s="139" t="s">
        <v>571</v>
      </c>
      <c r="J71" s="139" t="s">
        <v>571</v>
      </c>
    </row>
    <row r="72" spans="3:10" x14ac:dyDescent="0.25">
      <c r="C72" s="132"/>
      <c r="D72" s="157"/>
      <c r="E72" s="130" t="s">
        <v>655</v>
      </c>
      <c r="F72" s="154" t="s">
        <v>494</v>
      </c>
      <c r="G72" s="132" t="s">
        <v>388</v>
      </c>
      <c r="H72" s="161" t="s">
        <v>389</v>
      </c>
      <c r="I72" s="139" t="s">
        <v>365</v>
      </c>
      <c r="J72" s="139" t="s">
        <v>365</v>
      </c>
    </row>
    <row r="73" spans="3:10" x14ac:dyDescent="0.25">
      <c r="C73" s="130"/>
      <c r="E73" s="130" t="s">
        <v>656</v>
      </c>
      <c r="F73" s="154" t="s">
        <v>495</v>
      </c>
      <c r="G73" s="132" t="s">
        <v>391</v>
      </c>
      <c r="H73" s="161" t="s">
        <v>392</v>
      </c>
      <c r="I73" s="139" t="s">
        <v>366</v>
      </c>
      <c r="J73" s="139" t="s">
        <v>366</v>
      </c>
    </row>
    <row r="74" spans="3:10" x14ac:dyDescent="0.25">
      <c r="C74" s="133"/>
      <c r="D74" s="157"/>
      <c r="E74" s="130" t="s">
        <v>657</v>
      </c>
      <c r="F74" s="154" t="s">
        <v>496</v>
      </c>
      <c r="G74" s="132" t="s">
        <v>394</v>
      </c>
      <c r="H74" s="161" t="s">
        <v>395</v>
      </c>
      <c r="I74" s="139" t="s">
        <v>367</v>
      </c>
      <c r="J74" s="139" t="s">
        <v>367</v>
      </c>
    </row>
    <row r="75" spans="3:10" x14ac:dyDescent="0.25">
      <c r="C75" s="133"/>
      <c r="D75" s="157"/>
      <c r="E75" s="130" t="s">
        <v>658</v>
      </c>
      <c r="F75" s="154" t="s">
        <v>497</v>
      </c>
      <c r="G75" s="132" t="s">
        <v>396</v>
      </c>
      <c r="H75" s="161" t="s">
        <v>397</v>
      </c>
      <c r="I75" s="139" t="s">
        <v>572</v>
      </c>
      <c r="J75" s="139" t="s">
        <v>572</v>
      </c>
    </row>
    <row r="76" spans="3:10" x14ac:dyDescent="0.25">
      <c r="C76" s="132"/>
      <c r="D76" s="157"/>
      <c r="E76" s="130" t="s">
        <v>659</v>
      </c>
      <c r="F76" s="154" t="s">
        <v>498</v>
      </c>
      <c r="G76" s="132" t="s">
        <v>609</v>
      </c>
      <c r="H76" s="161" t="s">
        <v>610</v>
      </c>
      <c r="I76" s="139" t="s">
        <v>573</v>
      </c>
      <c r="J76" s="139" t="s">
        <v>573</v>
      </c>
    </row>
    <row r="77" spans="3:10" x14ac:dyDescent="0.25">
      <c r="C77" s="132"/>
      <c r="D77" s="157"/>
      <c r="E77" s="130" t="s">
        <v>660</v>
      </c>
      <c r="F77" s="154" t="s">
        <v>499</v>
      </c>
      <c r="G77" s="132" t="s">
        <v>398</v>
      </c>
      <c r="H77" s="161" t="s">
        <v>399</v>
      </c>
      <c r="I77" s="139" t="s">
        <v>372</v>
      </c>
      <c r="J77" s="139" t="s">
        <v>372</v>
      </c>
    </row>
    <row r="78" spans="3:10" x14ac:dyDescent="0.25">
      <c r="C78" s="132"/>
      <c r="D78" s="157"/>
      <c r="E78" s="130" t="s">
        <v>662</v>
      </c>
      <c r="F78" s="154" t="s">
        <v>500</v>
      </c>
      <c r="G78" s="132"/>
      <c r="H78" s="161"/>
      <c r="I78" s="139" t="s">
        <v>375</v>
      </c>
      <c r="J78" s="139" t="s">
        <v>375</v>
      </c>
    </row>
    <row r="79" spans="3:10" x14ac:dyDescent="0.25">
      <c r="C79" s="133"/>
      <c r="D79" s="161"/>
      <c r="E79" s="130" t="s">
        <v>663</v>
      </c>
      <c r="F79" s="154" t="s">
        <v>501</v>
      </c>
      <c r="G79" s="138"/>
      <c r="H79" s="161"/>
      <c r="I79" s="139" t="s">
        <v>574</v>
      </c>
      <c r="J79" s="139" t="s">
        <v>574</v>
      </c>
    </row>
    <row r="80" spans="3:10" x14ac:dyDescent="0.25">
      <c r="C80" s="133"/>
      <c r="D80" s="161"/>
      <c r="E80" s="130" t="s">
        <v>664</v>
      </c>
      <c r="F80" s="154" t="s">
        <v>502</v>
      </c>
      <c r="G80" s="138"/>
      <c r="H80" s="161"/>
      <c r="I80" s="139" t="s">
        <v>378</v>
      </c>
      <c r="J80" s="139" t="s">
        <v>378</v>
      </c>
    </row>
    <row r="81" spans="1:10" x14ac:dyDescent="0.25">
      <c r="C81" s="133"/>
      <c r="D81" s="161"/>
      <c r="E81" s="130" t="s">
        <v>665</v>
      </c>
      <c r="F81" s="154" t="s">
        <v>503</v>
      </c>
      <c r="G81" s="138"/>
      <c r="H81" s="161"/>
      <c r="I81" s="139" t="s">
        <v>381</v>
      </c>
      <c r="J81" s="139" t="s">
        <v>381</v>
      </c>
    </row>
    <row r="82" spans="1:10" x14ac:dyDescent="0.25">
      <c r="C82" s="133"/>
      <c r="D82" s="161"/>
      <c r="E82" s="130" t="s">
        <v>666</v>
      </c>
      <c r="F82" s="154" t="s">
        <v>531</v>
      </c>
      <c r="G82" s="138"/>
      <c r="H82" s="161"/>
      <c r="I82" s="139" t="s">
        <v>384</v>
      </c>
      <c r="J82" s="139" t="s">
        <v>384</v>
      </c>
    </row>
    <row r="83" spans="1:10" x14ac:dyDescent="0.25">
      <c r="C83" s="132"/>
      <c r="D83" s="157"/>
      <c r="E83" s="130" t="s">
        <v>667</v>
      </c>
      <c r="F83" s="154" t="s">
        <v>532</v>
      </c>
      <c r="G83" s="138"/>
      <c r="H83" s="161"/>
      <c r="I83" s="139" t="s">
        <v>575</v>
      </c>
      <c r="J83" s="139" t="s">
        <v>575</v>
      </c>
    </row>
    <row r="84" spans="1:10" x14ac:dyDescent="0.25">
      <c r="C84" s="132"/>
      <c r="D84" s="157"/>
      <c r="E84" s="130" t="s">
        <v>668</v>
      </c>
      <c r="F84" s="154" t="s">
        <v>533</v>
      </c>
      <c r="G84" s="138"/>
      <c r="H84" s="161"/>
      <c r="I84" s="139" t="s">
        <v>576</v>
      </c>
      <c r="J84" s="139" t="s">
        <v>576</v>
      </c>
    </row>
    <row r="85" spans="1:10" x14ac:dyDescent="0.25">
      <c r="C85" s="132"/>
      <c r="D85" s="157"/>
      <c r="E85" s="130" t="s">
        <v>669</v>
      </c>
      <c r="F85" s="154" t="s">
        <v>534</v>
      </c>
      <c r="G85" s="138"/>
      <c r="H85" s="161"/>
      <c r="I85" s="139" t="s">
        <v>387</v>
      </c>
      <c r="J85" s="139" t="s">
        <v>387</v>
      </c>
    </row>
    <row r="86" spans="1:10" x14ac:dyDescent="0.25">
      <c r="C86" s="132"/>
      <c r="D86" s="157"/>
      <c r="E86" s="130" t="s">
        <v>670</v>
      </c>
      <c r="F86" s="154" t="s">
        <v>535</v>
      </c>
      <c r="G86" s="138"/>
      <c r="H86" s="161"/>
      <c r="I86" s="139" t="s">
        <v>577</v>
      </c>
      <c r="J86" s="139" t="s">
        <v>577</v>
      </c>
    </row>
    <row r="87" spans="1:10" x14ac:dyDescent="0.25">
      <c r="A87" s="133"/>
      <c r="B87" s="157"/>
      <c r="C87" s="132"/>
      <c r="D87" s="157"/>
      <c r="E87" s="130" t="s">
        <v>671</v>
      </c>
      <c r="F87" s="154" t="s">
        <v>536</v>
      </c>
      <c r="G87" s="138"/>
      <c r="H87" s="161"/>
      <c r="I87" s="139" t="s">
        <v>390</v>
      </c>
      <c r="J87" s="139" t="s">
        <v>390</v>
      </c>
    </row>
    <row r="88" spans="1:10" x14ac:dyDescent="0.25">
      <c r="A88" s="137"/>
      <c r="B88" s="155"/>
      <c r="C88" s="133"/>
      <c r="E88" s="130" t="s">
        <v>672</v>
      </c>
      <c r="F88" s="154" t="s">
        <v>530</v>
      </c>
      <c r="G88" s="138"/>
      <c r="H88" s="161"/>
      <c r="I88" s="139" t="s">
        <v>393</v>
      </c>
      <c r="J88" s="139" t="s">
        <v>393</v>
      </c>
    </row>
    <row r="89" spans="1:10" x14ac:dyDescent="0.25">
      <c r="A89" s="140"/>
      <c r="B89" s="158"/>
      <c r="C89" s="132"/>
      <c r="D89" s="157"/>
      <c r="E89" s="130" t="s">
        <v>673</v>
      </c>
      <c r="F89" s="154" t="s">
        <v>537</v>
      </c>
      <c r="G89" s="138"/>
      <c r="H89" s="161"/>
      <c r="I89" s="139"/>
      <c r="J89" s="139"/>
    </row>
    <row r="90" spans="1:10" x14ac:dyDescent="0.25">
      <c r="A90" s="137"/>
      <c r="B90" s="155"/>
      <c r="C90" s="130"/>
      <c r="E90" s="130" t="s">
        <v>675</v>
      </c>
      <c r="F90" s="154" t="s">
        <v>539</v>
      </c>
      <c r="G90" s="132"/>
      <c r="H90" s="161"/>
      <c r="I90" s="139"/>
      <c r="J90" s="139"/>
    </row>
    <row r="91" spans="1:10" x14ac:dyDescent="0.25">
      <c r="A91" s="137"/>
      <c r="B91" s="155"/>
      <c r="C91" s="132"/>
      <c r="D91" s="157"/>
      <c r="E91" s="130" t="s">
        <v>676</v>
      </c>
      <c r="F91" s="154" t="s">
        <v>540</v>
      </c>
      <c r="G91" s="132"/>
      <c r="H91" s="161"/>
      <c r="I91" s="139"/>
      <c r="J91" s="139"/>
    </row>
    <row r="92" spans="1:10" x14ac:dyDescent="0.25">
      <c r="C92" s="132"/>
      <c r="D92" s="157"/>
      <c r="E92" s="130" t="s">
        <v>677</v>
      </c>
      <c r="F92" s="154" t="s">
        <v>541</v>
      </c>
      <c r="G92" s="138"/>
      <c r="H92" s="156"/>
      <c r="I92" s="139"/>
      <c r="J92" s="139"/>
    </row>
    <row r="93" spans="1:10" x14ac:dyDescent="0.25">
      <c r="C93" s="132"/>
      <c r="D93" s="157"/>
      <c r="E93" s="130" t="s">
        <v>679</v>
      </c>
      <c r="F93" s="154" t="s">
        <v>544</v>
      </c>
      <c r="G93" s="138"/>
      <c r="H93" s="156"/>
      <c r="I93" s="139"/>
      <c r="J93" s="139"/>
    </row>
    <row r="94" spans="1:10" x14ac:dyDescent="0.25">
      <c r="C94" s="132"/>
      <c r="D94" s="157"/>
      <c r="E94" s="130" t="s">
        <v>514</v>
      </c>
      <c r="F94" s="154" t="s">
        <v>526</v>
      </c>
      <c r="G94" s="138"/>
      <c r="H94" s="156"/>
      <c r="I94" s="139"/>
      <c r="J94" s="139"/>
    </row>
    <row r="95" spans="1:10" x14ac:dyDescent="0.25">
      <c r="C95" s="132"/>
      <c r="D95" s="157"/>
      <c r="E95" s="130" t="s">
        <v>505</v>
      </c>
      <c r="F95" s="154" t="s">
        <v>518</v>
      </c>
      <c r="G95" s="138"/>
      <c r="H95" s="156"/>
      <c r="I95" s="139"/>
      <c r="J95" s="139"/>
    </row>
    <row r="96" spans="1:10" x14ac:dyDescent="0.25">
      <c r="C96" s="132"/>
      <c r="D96" s="157"/>
      <c r="E96" s="130" t="s">
        <v>515</v>
      </c>
      <c r="F96" s="154" t="s">
        <v>528</v>
      </c>
      <c r="G96" s="138"/>
      <c r="H96" s="156"/>
      <c r="I96" s="139"/>
      <c r="J96" s="139"/>
    </row>
    <row r="97" spans="1:10" x14ac:dyDescent="0.25">
      <c r="A97" s="136"/>
      <c r="B97" s="156"/>
      <c r="C97" s="132"/>
      <c r="D97" s="157"/>
      <c r="E97" s="130" t="s">
        <v>507</v>
      </c>
      <c r="F97" s="154" t="s">
        <v>520</v>
      </c>
      <c r="G97" s="138"/>
      <c r="H97" s="156"/>
      <c r="I97" s="139"/>
      <c r="J97" s="139"/>
    </row>
    <row r="98" spans="1:10" x14ac:dyDescent="0.25">
      <c r="A98" s="136"/>
      <c r="B98" s="156"/>
      <c r="C98" s="132"/>
      <c r="D98" s="157"/>
      <c r="E98" s="130" t="s">
        <v>510</v>
      </c>
      <c r="F98" s="154" t="s">
        <v>523</v>
      </c>
      <c r="G98" s="138"/>
      <c r="H98" s="156"/>
      <c r="I98" s="139"/>
      <c r="J98" s="139"/>
    </row>
    <row r="99" spans="1:10" x14ac:dyDescent="0.25">
      <c r="A99" s="136"/>
      <c r="B99" s="156"/>
      <c r="C99" s="132"/>
      <c r="D99" s="157"/>
      <c r="E99" s="130" t="s">
        <v>512</v>
      </c>
      <c r="F99" s="154" t="s">
        <v>525</v>
      </c>
      <c r="G99" s="138"/>
      <c r="H99" s="156"/>
      <c r="I99" s="139"/>
      <c r="J99" s="139"/>
    </row>
    <row r="100" spans="1:10" x14ac:dyDescent="0.25">
      <c r="A100" s="136"/>
      <c r="B100" s="156"/>
      <c r="C100" s="130"/>
      <c r="E100" s="130" t="s">
        <v>509</v>
      </c>
      <c r="F100" s="154" t="s">
        <v>522</v>
      </c>
      <c r="G100" s="138"/>
      <c r="H100" s="156"/>
      <c r="I100" s="139"/>
      <c r="J100" s="139"/>
    </row>
    <row r="101" spans="1:10" x14ac:dyDescent="0.25">
      <c r="A101" s="136"/>
      <c r="B101" s="156"/>
      <c r="C101" s="130"/>
      <c r="E101" s="130" t="s">
        <v>506</v>
      </c>
      <c r="F101" s="154" t="s">
        <v>519</v>
      </c>
      <c r="G101" s="138"/>
      <c r="H101" s="156"/>
      <c r="I101"/>
      <c r="J101"/>
    </row>
    <row r="102" spans="1:10" x14ac:dyDescent="0.25">
      <c r="C102" s="132"/>
      <c r="D102" s="157"/>
      <c r="E102" s="130" t="s">
        <v>508</v>
      </c>
      <c r="F102" s="154" t="s">
        <v>521</v>
      </c>
      <c r="G102" s="138"/>
      <c r="H102" s="156"/>
      <c r="I102"/>
      <c r="J102"/>
    </row>
    <row r="103" spans="1:10" x14ac:dyDescent="0.25">
      <c r="C103" s="132"/>
      <c r="D103" s="157"/>
      <c r="E103" s="130" t="s">
        <v>513</v>
      </c>
      <c r="F103" s="154" t="s">
        <v>527</v>
      </c>
      <c r="G103" s="138"/>
      <c r="H103" s="156"/>
      <c r="I103"/>
      <c r="J103"/>
    </row>
    <row r="104" spans="1:10" x14ac:dyDescent="0.25">
      <c r="C104" s="132"/>
      <c r="D104" s="157"/>
      <c r="E104" s="130" t="s">
        <v>516</v>
      </c>
      <c r="F104" s="154" t="s">
        <v>529</v>
      </c>
      <c r="G104" s="138"/>
      <c r="H104" s="156"/>
      <c r="I104"/>
      <c r="J104"/>
    </row>
    <row r="105" spans="1:10" x14ac:dyDescent="0.25">
      <c r="C105" s="132"/>
      <c r="D105" s="157"/>
      <c r="E105" s="130" t="s">
        <v>511</v>
      </c>
      <c r="F105" s="154" t="s">
        <v>524</v>
      </c>
      <c r="G105" s="138"/>
      <c r="H105" s="156"/>
      <c r="I105"/>
      <c r="J105"/>
    </row>
    <row r="106" spans="1:10" x14ac:dyDescent="0.25">
      <c r="C106" s="133"/>
      <c r="D106" s="157"/>
      <c r="E106" s="130" t="s">
        <v>504</v>
      </c>
      <c r="F106" s="154" t="s">
        <v>517</v>
      </c>
      <c r="G106" s="138"/>
      <c r="H106" s="156"/>
      <c r="I106"/>
      <c r="J106"/>
    </row>
    <row r="107" spans="1:10" x14ac:dyDescent="0.25">
      <c r="C107" s="133"/>
      <c r="D107" s="161"/>
      <c r="E107" s="130" t="s">
        <v>619</v>
      </c>
      <c r="F107" s="154" t="s">
        <v>479</v>
      </c>
      <c r="I107"/>
      <c r="J107"/>
    </row>
    <row r="108" spans="1:10" x14ac:dyDescent="0.25">
      <c r="C108" s="133"/>
      <c r="D108" s="161"/>
      <c r="E108" s="130" t="s">
        <v>624</v>
      </c>
      <c r="F108" s="154" t="s">
        <v>548</v>
      </c>
      <c r="I108"/>
      <c r="J108"/>
    </row>
    <row r="109" spans="1:10" x14ac:dyDescent="0.25">
      <c r="C109" s="133"/>
      <c r="D109" s="157"/>
      <c r="E109" s="130" t="s">
        <v>625</v>
      </c>
      <c r="F109" s="154" t="s">
        <v>549</v>
      </c>
      <c r="I109"/>
      <c r="J109"/>
    </row>
    <row r="110" spans="1:10" x14ac:dyDescent="0.25">
      <c r="C110" s="133"/>
      <c r="D110" s="161"/>
      <c r="E110" s="130" t="s">
        <v>627</v>
      </c>
      <c r="F110" s="154" t="s">
        <v>551</v>
      </c>
      <c r="I110"/>
      <c r="J110"/>
    </row>
    <row r="111" spans="1:10" x14ac:dyDescent="0.25">
      <c r="A111" s="133"/>
      <c r="B111" s="157"/>
      <c r="C111" s="130"/>
      <c r="E111" s="130" t="s">
        <v>632</v>
      </c>
      <c r="F111" s="154" t="s">
        <v>556</v>
      </c>
      <c r="I111"/>
      <c r="J111"/>
    </row>
    <row r="112" spans="1:10" x14ac:dyDescent="0.25">
      <c r="C112" s="133"/>
      <c r="D112" s="161"/>
      <c r="E112" s="130" t="s">
        <v>633</v>
      </c>
      <c r="F112" s="154" t="s">
        <v>557</v>
      </c>
      <c r="I112"/>
      <c r="J112"/>
    </row>
    <row r="113" spans="1:10" x14ac:dyDescent="0.25">
      <c r="C113" s="133"/>
      <c r="D113" s="161"/>
      <c r="E113" s="130" t="s">
        <v>623</v>
      </c>
      <c r="F113" s="154" t="s">
        <v>547</v>
      </c>
      <c r="I113"/>
      <c r="J113"/>
    </row>
    <row r="114" spans="1:10" x14ac:dyDescent="0.25">
      <c r="C114" s="133"/>
      <c r="D114" s="161"/>
      <c r="E114" s="130" t="s">
        <v>622</v>
      </c>
      <c r="F114" s="154" t="s">
        <v>546</v>
      </c>
      <c r="I114"/>
      <c r="J114"/>
    </row>
    <row r="115" spans="1:10" x14ac:dyDescent="0.25">
      <c r="C115" s="133"/>
      <c r="D115" s="161"/>
      <c r="E115" s="130" t="s">
        <v>628</v>
      </c>
      <c r="F115" s="154" t="s">
        <v>552</v>
      </c>
      <c r="G115" s="132"/>
      <c r="H115" s="161"/>
      <c r="I115"/>
      <c r="J115"/>
    </row>
    <row r="116" spans="1:10" x14ac:dyDescent="0.25">
      <c r="A116" s="137"/>
      <c r="B116" s="155"/>
      <c r="C116" s="133"/>
      <c r="D116" s="161"/>
      <c r="E116" s="130" t="s">
        <v>626</v>
      </c>
      <c r="F116" s="154" t="s">
        <v>550</v>
      </c>
      <c r="G116" s="132"/>
      <c r="H116" s="161"/>
      <c r="I116"/>
      <c r="J116"/>
    </row>
    <row r="117" spans="1:10" x14ac:dyDescent="0.25">
      <c r="C117" s="133"/>
      <c r="D117" s="161"/>
      <c r="E117" s="130" t="s">
        <v>631</v>
      </c>
      <c r="F117" s="154" t="s">
        <v>555</v>
      </c>
      <c r="I117"/>
      <c r="J117"/>
    </row>
    <row r="118" spans="1:10" x14ac:dyDescent="0.25">
      <c r="A118" s="140"/>
      <c r="B118" s="158"/>
      <c r="C118" s="133"/>
      <c r="D118" s="157"/>
      <c r="E118" s="130" t="s">
        <v>621</v>
      </c>
      <c r="F118" s="154" t="s">
        <v>545</v>
      </c>
      <c r="I118"/>
      <c r="J118"/>
    </row>
    <row r="119" spans="1:10" x14ac:dyDescent="0.25">
      <c r="C119" s="133"/>
      <c r="D119" s="161"/>
      <c r="E119" s="130" t="s">
        <v>630</v>
      </c>
      <c r="F119" s="154" t="s">
        <v>554</v>
      </c>
      <c r="I119"/>
      <c r="J119"/>
    </row>
    <row r="120" spans="1:10" x14ac:dyDescent="0.25">
      <c r="C120" s="133"/>
      <c r="D120" s="161"/>
      <c r="E120" s="130" t="s">
        <v>620</v>
      </c>
      <c r="F120" s="154" t="s">
        <v>480</v>
      </c>
      <c r="I120"/>
      <c r="J120"/>
    </row>
    <row r="121" spans="1:10" x14ac:dyDescent="0.25">
      <c r="A121" s="137"/>
      <c r="B121" s="155"/>
      <c r="C121" s="133"/>
      <c r="D121" s="161"/>
      <c r="E121" s="130" t="s">
        <v>629</v>
      </c>
      <c r="F121" s="154" t="s">
        <v>553</v>
      </c>
    </row>
    <row r="122" spans="1:10" x14ac:dyDescent="0.25">
      <c r="A122" s="137"/>
      <c r="B122" s="155"/>
      <c r="C122" s="133"/>
      <c r="D122" s="161"/>
      <c r="E122" s="130"/>
      <c r="F122" s="154"/>
    </row>
    <row r="123" spans="1:10" x14ac:dyDescent="0.25">
      <c r="C123" s="133"/>
      <c r="D123" s="161"/>
      <c r="E123" s="130"/>
      <c r="F123" s="154"/>
    </row>
    <row r="124" spans="1:10" x14ac:dyDescent="0.25">
      <c r="A124" s="137"/>
      <c r="B124" s="155"/>
      <c r="C124" s="133"/>
      <c r="D124" s="161"/>
      <c r="E124" s="130"/>
      <c r="F124" s="154"/>
    </row>
    <row r="125" spans="1:10" x14ac:dyDescent="0.25">
      <c r="E125" s="130"/>
      <c r="F125" s="154"/>
    </row>
    <row r="126" spans="1:10" x14ac:dyDescent="0.25">
      <c r="E126" s="130"/>
      <c r="F126" s="154"/>
    </row>
    <row r="127" spans="1:10" x14ac:dyDescent="0.25">
      <c r="C127" s="133"/>
      <c r="D127" s="161"/>
      <c r="E127" s="130"/>
      <c r="F127" s="154"/>
    </row>
    <row r="128" spans="1:10" x14ac:dyDescent="0.25">
      <c r="C128" s="133"/>
      <c r="D128" s="161"/>
      <c r="E128" s="130"/>
      <c r="F128" s="154"/>
    </row>
    <row r="129" spans="1:8" x14ac:dyDescent="0.25">
      <c r="C129" s="133"/>
      <c r="D129" s="161"/>
      <c r="E129" s="130"/>
      <c r="F129" s="154"/>
    </row>
    <row r="130" spans="1:8" x14ac:dyDescent="0.25">
      <c r="C130" s="133"/>
      <c r="D130" s="161"/>
      <c r="E130" s="130"/>
      <c r="F130" s="154"/>
    </row>
    <row r="131" spans="1:8" x14ac:dyDescent="0.25">
      <c r="C131" s="133"/>
      <c r="D131" s="161"/>
      <c r="E131" s="130"/>
      <c r="F131" s="154"/>
    </row>
    <row r="132" spans="1:8" x14ac:dyDescent="0.25">
      <c r="C132" s="133"/>
      <c r="D132" s="161"/>
      <c r="E132" s="130"/>
      <c r="F132" s="154"/>
    </row>
    <row r="133" spans="1:8" x14ac:dyDescent="0.25">
      <c r="C133" s="133"/>
      <c r="D133" s="161"/>
      <c r="E133" s="130"/>
      <c r="F133" s="154"/>
    </row>
    <row r="134" spans="1:8" x14ac:dyDescent="0.25">
      <c r="D134" s="161"/>
      <c r="E134" s="130"/>
      <c r="F134" s="154"/>
    </row>
    <row r="135" spans="1:8" x14ac:dyDescent="0.25">
      <c r="C135" s="133"/>
      <c r="D135" s="161"/>
      <c r="E135" s="130"/>
      <c r="F135" s="154"/>
    </row>
    <row r="136" spans="1:8" x14ac:dyDescent="0.25">
      <c r="A136" s="137"/>
      <c r="B136" s="155"/>
      <c r="C136" s="133"/>
      <c r="D136" s="161"/>
      <c r="E136" s="130"/>
      <c r="F136" s="154"/>
    </row>
    <row r="137" spans="1:8" x14ac:dyDescent="0.25">
      <c r="A137" s="137"/>
      <c r="B137" s="155"/>
      <c r="C137" s="133"/>
      <c r="D137" s="161"/>
      <c r="E137" s="130"/>
      <c r="F137" s="154"/>
    </row>
    <row r="138" spans="1:8" x14ac:dyDescent="0.25">
      <c r="C138" s="133"/>
      <c r="D138" s="161"/>
      <c r="E138" s="130"/>
      <c r="F138" s="154"/>
    </row>
    <row r="139" spans="1:8" x14ac:dyDescent="0.25">
      <c r="A139" s="137"/>
      <c r="B139" s="155"/>
      <c r="C139" s="133"/>
      <c r="D139" s="161"/>
      <c r="E139" s="130"/>
      <c r="F139" s="154"/>
    </row>
    <row r="140" spans="1:8" x14ac:dyDescent="0.25">
      <c r="C140" s="133"/>
      <c r="D140" s="161"/>
      <c r="E140" s="130"/>
      <c r="F140" s="154"/>
    </row>
    <row r="141" spans="1:8" x14ac:dyDescent="0.25">
      <c r="C141" s="133"/>
      <c r="D141" s="161"/>
      <c r="E141" s="130"/>
      <c r="F141" s="154"/>
    </row>
    <row r="142" spans="1:8" x14ac:dyDescent="0.25">
      <c r="C142" s="133"/>
      <c r="D142" s="161"/>
      <c r="E142" s="130"/>
      <c r="F142" s="154"/>
    </row>
    <row r="143" spans="1:8" x14ac:dyDescent="0.25">
      <c r="C143" s="133"/>
      <c r="D143" s="161"/>
      <c r="E143" s="130"/>
      <c r="F143" s="154"/>
    </row>
    <row r="144" spans="1:8" x14ac:dyDescent="0.25">
      <c r="C144" s="133"/>
      <c r="D144" s="161"/>
      <c r="E144" s="130"/>
      <c r="F144" s="154"/>
      <c r="G144" s="132"/>
      <c r="H144" s="161"/>
    </row>
    <row r="145" spans="1:6" x14ac:dyDescent="0.25">
      <c r="A145" s="141"/>
      <c r="B145" s="159"/>
      <c r="C145" s="133"/>
      <c r="D145" s="161"/>
      <c r="E145" s="130"/>
      <c r="F145" s="154"/>
    </row>
    <row r="146" spans="1:6" x14ac:dyDescent="0.25">
      <c r="C146" s="133"/>
      <c r="D146" s="161"/>
      <c r="E146" s="130"/>
      <c r="F146" s="154"/>
    </row>
    <row r="147" spans="1:6" x14ac:dyDescent="0.25">
      <c r="C147" s="132"/>
      <c r="D147" s="157"/>
      <c r="E147" s="130"/>
      <c r="F147" s="154"/>
    </row>
    <row r="148" spans="1:6" x14ac:dyDescent="0.25">
      <c r="C148" s="132"/>
      <c r="D148" s="157"/>
      <c r="E148" s="130"/>
      <c r="F148" s="154"/>
    </row>
    <row r="149" spans="1:6" x14ac:dyDescent="0.25">
      <c r="C149" s="132"/>
      <c r="D149" s="157"/>
      <c r="E149" s="130"/>
      <c r="F149" s="154"/>
    </row>
    <row r="150" spans="1:6" x14ac:dyDescent="0.25">
      <c r="C150" s="132"/>
      <c r="D150" s="157"/>
      <c r="E150" s="130"/>
      <c r="F150" s="154"/>
    </row>
    <row r="151" spans="1:6" x14ac:dyDescent="0.25">
      <c r="C151" s="132"/>
      <c r="D151" s="157"/>
      <c r="E151" s="130"/>
      <c r="F151" s="154"/>
    </row>
    <row r="152" spans="1:6" x14ac:dyDescent="0.25">
      <c r="C152" s="132"/>
      <c r="D152" s="157"/>
      <c r="E152" s="130"/>
      <c r="F152" s="154"/>
    </row>
    <row r="153" spans="1:6" x14ac:dyDescent="0.25">
      <c r="C153" s="132"/>
      <c r="D153" s="157"/>
      <c r="E153" s="130"/>
      <c r="F153" s="154"/>
    </row>
    <row r="154" spans="1:6" x14ac:dyDescent="0.25">
      <c r="C154" s="132"/>
      <c r="D154" s="157"/>
      <c r="E154" s="130"/>
      <c r="F154" s="154"/>
    </row>
    <row r="155" spans="1:6" x14ac:dyDescent="0.25">
      <c r="C155" s="132"/>
      <c r="D155" s="157"/>
      <c r="E155" s="130"/>
      <c r="F155" s="154"/>
    </row>
    <row r="156" spans="1:6" x14ac:dyDescent="0.25">
      <c r="C156" s="132"/>
      <c r="D156" s="157"/>
      <c r="E156" s="130"/>
      <c r="F156" s="154"/>
    </row>
    <row r="157" spans="1:6" x14ac:dyDescent="0.25">
      <c r="C157" s="132"/>
      <c r="D157" s="157"/>
      <c r="E157" s="130"/>
      <c r="F157" s="154"/>
    </row>
    <row r="158" spans="1:6" x14ac:dyDescent="0.25">
      <c r="C158" s="133"/>
      <c r="D158" s="157"/>
      <c r="E158" s="130"/>
      <c r="F158" s="154"/>
    </row>
    <row r="159" spans="1:6" x14ac:dyDescent="0.25">
      <c r="C159" s="132"/>
      <c r="D159" s="157"/>
      <c r="E159" s="130"/>
      <c r="F159" s="154"/>
    </row>
    <row r="160" spans="1:6" x14ac:dyDescent="0.25">
      <c r="C160" s="133"/>
      <c r="D160" s="157"/>
      <c r="E160" s="130"/>
      <c r="F160" s="154"/>
    </row>
    <row r="161" spans="3:6" x14ac:dyDescent="0.25">
      <c r="C161" s="132"/>
      <c r="D161" s="157"/>
      <c r="E161" s="130"/>
      <c r="F161" s="154"/>
    </row>
    <row r="162" spans="3:6" x14ac:dyDescent="0.25">
      <c r="C162" s="132"/>
      <c r="D162" s="157"/>
      <c r="E162" s="130"/>
      <c r="F162" s="154"/>
    </row>
    <row r="163" spans="3:6" x14ac:dyDescent="0.25">
      <c r="C163" s="132"/>
      <c r="D163" s="157"/>
      <c r="E163" s="130"/>
      <c r="F163" s="154"/>
    </row>
    <row r="164" spans="3:6" x14ac:dyDescent="0.25">
      <c r="C164" s="132"/>
      <c r="D164" s="157"/>
      <c r="E164" s="130"/>
      <c r="F164" s="154"/>
    </row>
    <row r="165" spans="3:6" x14ac:dyDescent="0.25">
      <c r="C165" s="132"/>
      <c r="D165" s="157"/>
      <c r="E165" s="130"/>
      <c r="F165" s="154"/>
    </row>
    <row r="166" spans="3:6" x14ac:dyDescent="0.25">
      <c r="C166" s="132"/>
      <c r="D166" s="157"/>
      <c r="E166" s="130"/>
      <c r="F166" s="154"/>
    </row>
    <row r="167" spans="3:6" x14ac:dyDescent="0.25">
      <c r="C167" s="133"/>
      <c r="D167" s="157"/>
      <c r="E167" s="130"/>
      <c r="F167" s="154"/>
    </row>
    <row r="168" spans="3:6" x14ac:dyDescent="0.25">
      <c r="C168" s="132"/>
      <c r="D168" s="157"/>
      <c r="E168" s="130"/>
      <c r="F168" s="154"/>
    </row>
    <row r="169" spans="3:6" x14ac:dyDescent="0.25">
      <c r="C169" s="133"/>
      <c r="D169" s="157"/>
      <c r="E169" s="130"/>
      <c r="F169" s="154"/>
    </row>
    <row r="170" spans="3:6" x14ac:dyDescent="0.25">
      <c r="C170" s="133"/>
      <c r="D170" s="157"/>
      <c r="E170" s="130"/>
      <c r="F170" s="154"/>
    </row>
    <row r="171" spans="3:6" x14ac:dyDescent="0.25">
      <c r="C171" s="132"/>
      <c r="D171" s="157"/>
      <c r="E171" s="130"/>
      <c r="F171" s="154"/>
    </row>
    <row r="172" spans="3:6" x14ac:dyDescent="0.25">
      <c r="C172" s="133"/>
      <c r="D172" s="157"/>
      <c r="E172" s="130"/>
      <c r="F172" s="154"/>
    </row>
    <row r="173" spans="3:6" x14ac:dyDescent="0.25">
      <c r="C173" s="132"/>
      <c r="D173" s="157"/>
      <c r="E173" s="130"/>
      <c r="F173" s="154"/>
    </row>
    <row r="174" spans="3:6" x14ac:dyDescent="0.25">
      <c r="E174" s="130"/>
      <c r="F174" s="154"/>
    </row>
    <row r="175" spans="3:6" x14ac:dyDescent="0.25">
      <c r="E175" s="130"/>
      <c r="F175" s="154"/>
    </row>
    <row r="176" spans="3:6" x14ac:dyDescent="0.25">
      <c r="E176" s="130"/>
      <c r="F176" s="154"/>
    </row>
    <row r="177" spans="1:8" x14ac:dyDescent="0.25">
      <c r="E177" s="130"/>
      <c r="F177" s="154"/>
    </row>
    <row r="178" spans="1:8" x14ac:dyDescent="0.25">
      <c r="E178" s="130"/>
      <c r="F178" s="154"/>
    </row>
    <row r="179" spans="1:8" x14ac:dyDescent="0.25">
      <c r="A179" s="131"/>
      <c r="E179" s="130"/>
      <c r="F179" s="154"/>
    </row>
    <row r="180" spans="1:8" x14ac:dyDescent="0.25">
      <c r="E180"/>
      <c r="F180" s="165"/>
    </row>
    <row r="181" spans="1:8" x14ac:dyDescent="0.25">
      <c r="E181"/>
      <c r="F181" s="165"/>
      <c r="G181" s="132"/>
      <c r="H181" s="161"/>
    </row>
    <row r="182" spans="1:8" x14ac:dyDescent="0.25">
      <c r="E182"/>
      <c r="F182" s="165"/>
    </row>
    <row r="183" spans="1:8" x14ac:dyDescent="0.25">
      <c r="E183"/>
      <c r="F183" s="165"/>
    </row>
    <row r="184" spans="1:8" x14ac:dyDescent="0.25">
      <c r="E184"/>
      <c r="F184" s="165"/>
    </row>
    <row r="185" spans="1:8" x14ac:dyDescent="0.25">
      <c r="E185"/>
      <c r="F185" s="165"/>
    </row>
    <row r="186" spans="1:8" x14ac:dyDescent="0.25">
      <c r="E186"/>
      <c r="F186" s="165"/>
    </row>
    <row r="187" spans="1:8" x14ac:dyDescent="0.25">
      <c r="E187"/>
      <c r="F187" s="165"/>
    </row>
    <row r="188" spans="1:8" x14ac:dyDescent="0.25">
      <c r="E188"/>
      <c r="F188" s="165"/>
    </row>
    <row r="189" spans="1:8" x14ac:dyDescent="0.25">
      <c r="E189"/>
      <c r="F189" s="165"/>
    </row>
    <row r="190" spans="1:8" x14ac:dyDescent="0.25">
      <c r="E190"/>
      <c r="F190" s="165"/>
    </row>
    <row r="191" spans="1:8" x14ac:dyDescent="0.25">
      <c r="E191"/>
      <c r="F191" s="165"/>
    </row>
    <row r="192" spans="1:8" x14ac:dyDescent="0.25">
      <c r="E192"/>
      <c r="F192" s="165"/>
    </row>
    <row r="193" spans="5:6" x14ac:dyDescent="0.25">
      <c r="E193"/>
      <c r="F193" s="165"/>
    </row>
    <row r="194" spans="5:6" x14ac:dyDescent="0.25">
      <c r="E194"/>
      <c r="F194" s="165"/>
    </row>
    <row r="195" spans="5:6" x14ac:dyDescent="0.25">
      <c r="E195"/>
      <c r="F195" s="165"/>
    </row>
    <row r="196" spans="5:6" x14ac:dyDescent="0.25">
      <c r="E196"/>
      <c r="F196" s="165"/>
    </row>
    <row r="197" spans="5:6" x14ac:dyDescent="0.25">
      <c r="E197"/>
      <c r="F197" s="165"/>
    </row>
    <row r="198" spans="5:6" x14ac:dyDescent="0.25">
      <c r="E198"/>
      <c r="F198" s="165"/>
    </row>
    <row r="199" spans="5:6" x14ac:dyDescent="0.25">
      <c r="E199"/>
      <c r="F199" s="165"/>
    </row>
    <row r="200" spans="5:6" x14ac:dyDescent="0.25">
      <c r="E200"/>
      <c r="F200" s="165"/>
    </row>
    <row r="201" spans="5:6" x14ac:dyDescent="0.25">
      <c r="E201"/>
      <c r="F201" s="165"/>
    </row>
    <row r="202" spans="5:6" x14ac:dyDescent="0.25">
      <c r="E202"/>
      <c r="F202" s="165"/>
    </row>
    <row r="203" spans="5:6" x14ac:dyDescent="0.25">
      <c r="E203"/>
      <c r="F203" s="165"/>
    </row>
    <row r="204" spans="5:6" x14ac:dyDescent="0.25">
      <c r="E204"/>
      <c r="F204" s="165"/>
    </row>
    <row r="205" spans="5:6" x14ac:dyDescent="0.25">
      <c r="E205"/>
      <c r="F205" s="165"/>
    </row>
    <row r="206" spans="5:6" x14ac:dyDescent="0.25">
      <c r="E206"/>
      <c r="F206" s="165"/>
    </row>
    <row r="207" spans="5:6" x14ac:dyDescent="0.25">
      <c r="E207"/>
      <c r="F207" s="165"/>
    </row>
    <row r="208" spans="5:6" x14ac:dyDescent="0.25">
      <c r="E208"/>
      <c r="F208" s="165"/>
    </row>
    <row r="209" spans="5:6" x14ac:dyDescent="0.25">
      <c r="E209"/>
      <c r="F209" s="165"/>
    </row>
    <row r="210" spans="5:6" x14ac:dyDescent="0.25">
      <c r="E210"/>
      <c r="F210" s="165"/>
    </row>
    <row r="211" spans="5:6" x14ac:dyDescent="0.25">
      <c r="E211"/>
      <c r="F211" s="165"/>
    </row>
    <row r="212" spans="5:6" x14ac:dyDescent="0.25">
      <c r="E212"/>
      <c r="F212" s="165"/>
    </row>
    <row r="213" spans="5:6" x14ac:dyDescent="0.25">
      <c r="E213"/>
      <c r="F213" s="165"/>
    </row>
    <row r="214" spans="5:6" x14ac:dyDescent="0.25">
      <c r="E214"/>
      <c r="F214" s="165"/>
    </row>
    <row r="215" spans="5:6" x14ac:dyDescent="0.25">
      <c r="E215"/>
      <c r="F215" s="165"/>
    </row>
    <row r="216" spans="5:6" x14ac:dyDescent="0.25">
      <c r="E216"/>
      <c r="F216" s="165"/>
    </row>
    <row r="217" spans="5:6" x14ac:dyDescent="0.25">
      <c r="E217"/>
      <c r="F217" s="165"/>
    </row>
    <row r="218" spans="5:6" x14ac:dyDescent="0.25">
      <c r="E218"/>
      <c r="F218" s="165"/>
    </row>
    <row r="219" spans="5:6" x14ac:dyDescent="0.25">
      <c r="E219"/>
      <c r="F219" s="165"/>
    </row>
    <row r="220" spans="5:6" x14ac:dyDescent="0.25">
      <c r="E220"/>
      <c r="F220" s="165"/>
    </row>
    <row r="221" spans="5:6" x14ac:dyDescent="0.25">
      <c r="E221"/>
      <c r="F221" s="165"/>
    </row>
    <row r="222" spans="5:6" x14ac:dyDescent="0.25">
      <c r="E222"/>
      <c r="F222" s="165"/>
    </row>
    <row r="223" spans="5:6" x14ac:dyDescent="0.25">
      <c r="E223"/>
      <c r="F223" s="165"/>
    </row>
    <row r="224" spans="5:6" x14ac:dyDescent="0.25">
      <c r="E224"/>
      <c r="F224" s="165"/>
    </row>
    <row r="225" spans="5:6" x14ac:dyDescent="0.25">
      <c r="E225"/>
      <c r="F225" s="165"/>
    </row>
    <row r="226" spans="5:6" x14ac:dyDescent="0.25">
      <c r="E226"/>
      <c r="F226" s="165"/>
    </row>
    <row r="227" spans="5:6" x14ac:dyDescent="0.25">
      <c r="E227"/>
      <c r="F227" s="165"/>
    </row>
    <row r="228" spans="5:6" x14ac:dyDescent="0.25">
      <c r="E228"/>
      <c r="F228" s="165"/>
    </row>
    <row r="229" spans="5:6" x14ac:dyDescent="0.25">
      <c r="E229"/>
      <c r="F229" s="165"/>
    </row>
    <row r="230" spans="5:6" x14ac:dyDescent="0.25">
      <c r="E230"/>
      <c r="F230" s="165"/>
    </row>
    <row r="231" spans="5:6" x14ac:dyDescent="0.25">
      <c r="E231"/>
      <c r="F231" s="165"/>
    </row>
    <row r="232" spans="5:6" x14ac:dyDescent="0.25">
      <c r="E232"/>
      <c r="F232" s="165"/>
    </row>
    <row r="233" spans="5:6" x14ac:dyDescent="0.25">
      <c r="E233"/>
      <c r="F233" s="165"/>
    </row>
    <row r="234" spans="5:6" x14ac:dyDescent="0.25">
      <c r="E234"/>
      <c r="F234" s="165"/>
    </row>
    <row r="235" spans="5:6" x14ac:dyDescent="0.25">
      <c r="E235"/>
      <c r="F235" s="165"/>
    </row>
    <row r="236" spans="5:6" x14ac:dyDescent="0.25">
      <c r="E236"/>
      <c r="F236" s="165"/>
    </row>
    <row r="237" spans="5:6" x14ac:dyDescent="0.25">
      <c r="E237"/>
      <c r="F237" s="165"/>
    </row>
    <row r="238" spans="5:6" x14ac:dyDescent="0.25">
      <c r="E238"/>
      <c r="F238" s="165"/>
    </row>
    <row r="239" spans="5:6" x14ac:dyDescent="0.25">
      <c r="E239"/>
      <c r="F239" s="165"/>
    </row>
    <row r="240" spans="5:6" x14ac:dyDescent="0.25">
      <c r="E240"/>
      <c r="F240" s="165"/>
    </row>
    <row r="241" spans="5:6" x14ac:dyDescent="0.25">
      <c r="E241"/>
      <c r="F241" s="165"/>
    </row>
    <row r="242" spans="5:6" x14ac:dyDescent="0.25">
      <c r="E242"/>
      <c r="F242" s="165"/>
    </row>
    <row r="243" spans="5:6" x14ac:dyDescent="0.25">
      <c r="E243"/>
      <c r="F243" s="165"/>
    </row>
    <row r="244" spans="5:6" x14ac:dyDescent="0.25">
      <c r="E244"/>
      <c r="F244" s="165"/>
    </row>
    <row r="245" spans="5:6" x14ac:dyDescent="0.25">
      <c r="E245"/>
      <c r="F245" s="165"/>
    </row>
    <row r="246" spans="5:6" x14ac:dyDescent="0.25">
      <c r="E246"/>
      <c r="F246" s="165"/>
    </row>
    <row r="247" spans="5:6" x14ac:dyDescent="0.25">
      <c r="E247"/>
      <c r="F247" s="165"/>
    </row>
    <row r="248" spans="5:6" x14ac:dyDescent="0.25">
      <c r="E248"/>
      <c r="F248" s="165"/>
    </row>
    <row r="249" spans="5:6" x14ac:dyDescent="0.25">
      <c r="E249"/>
      <c r="F249" s="165"/>
    </row>
    <row r="250" spans="5:6" x14ac:dyDescent="0.25">
      <c r="E250"/>
      <c r="F250" s="165"/>
    </row>
    <row r="251" spans="5:6" x14ac:dyDescent="0.25">
      <c r="E251"/>
      <c r="F251" s="165"/>
    </row>
    <row r="252" spans="5:6" x14ac:dyDescent="0.25">
      <c r="E252"/>
      <c r="F252" s="165"/>
    </row>
    <row r="253" spans="5:6" x14ac:dyDescent="0.25">
      <c r="E253"/>
      <c r="F253" s="165"/>
    </row>
    <row r="254" spans="5:6" x14ac:dyDescent="0.25">
      <c r="E254"/>
      <c r="F254" s="165"/>
    </row>
    <row r="255" spans="5:6" x14ac:dyDescent="0.25">
      <c r="E255"/>
      <c r="F255" s="165"/>
    </row>
    <row r="256" spans="5:6" x14ac:dyDescent="0.25">
      <c r="E256"/>
      <c r="F256" s="165"/>
    </row>
    <row r="257" spans="5:6" x14ac:dyDescent="0.25">
      <c r="E257"/>
      <c r="F257" s="165"/>
    </row>
    <row r="258" spans="5:6" x14ac:dyDescent="0.25">
      <c r="E258"/>
      <c r="F258" s="165"/>
    </row>
    <row r="259" spans="5:6" x14ac:dyDescent="0.25">
      <c r="E259"/>
      <c r="F259" s="165"/>
    </row>
    <row r="260" spans="5:6" x14ac:dyDescent="0.25">
      <c r="E260"/>
      <c r="F260" s="165"/>
    </row>
    <row r="261" spans="5:6" x14ac:dyDescent="0.25">
      <c r="E261"/>
      <c r="F261" s="165"/>
    </row>
    <row r="262" spans="5:6" x14ac:dyDescent="0.25">
      <c r="E262"/>
      <c r="F262" s="165"/>
    </row>
    <row r="263" spans="5:6" x14ac:dyDescent="0.25">
      <c r="E263"/>
      <c r="F263" s="165"/>
    </row>
    <row r="264" spans="5:6" x14ac:dyDescent="0.25">
      <c r="E264"/>
      <c r="F264" s="165"/>
    </row>
    <row r="265" spans="5:6" x14ac:dyDescent="0.25">
      <c r="E265"/>
      <c r="F265" s="165"/>
    </row>
    <row r="266" spans="5:6" x14ac:dyDescent="0.25">
      <c r="E266"/>
      <c r="F266" s="165"/>
    </row>
    <row r="267" spans="5:6" x14ac:dyDescent="0.25">
      <c r="E267"/>
      <c r="F267" s="165"/>
    </row>
    <row r="268" spans="5:6" x14ac:dyDescent="0.25">
      <c r="E268"/>
      <c r="F268" s="165"/>
    </row>
    <row r="269" spans="5:6" x14ac:dyDescent="0.25">
      <c r="E269"/>
      <c r="F269" s="165"/>
    </row>
    <row r="270" spans="5:6" x14ac:dyDescent="0.25">
      <c r="E270"/>
      <c r="F270" s="165"/>
    </row>
    <row r="271" spans="5:6" x14ac:dyDescent="0.25">
      <c r="E271"/>
      <c r="F271" s="165"/>
    </row>
    <row r="272" spans="5:6" x14ac:dyDescent="0.25">
      <c r="E272"/>
      <c r="F272" s="165"/>
    </row>
    <row r="273" spans="5:6" x14ac:dyDescent="0.25">
      <c r="E273"/>
      <c r="F273" s="165"/>
    </row>
    <row r="274" spans="5:6" x14ac:dyDescent="0.25">
      <c r="E274"/>
      <c r="F274" s="165"/>
    </row>
    <row r="275" spans="5:6" x14ac:dyDescent="0.25">
      <c r="E275"/>
      <c r="F275" s="165"/>
    </row>
    <row r="276" spans="5:6" x14ac:dyDescent="0.25">
      <c r="E276"/>
      <c r="F276" s="165"/>
    </row>
    <row r="277" spans="5:6" x14ac:dyDescent="0.25">
      <c r="E277"/>
      <c r="F277" s="165"/>
    </row>
    <row r="278" spans="5:6" x14ac:dyDescent="0.25">
      <c r="E278"/>
      <c r="F278" s="165"/>
    </row>
    <row r="279" spans="5:6" x14ac:dyDescent="0.25">
      <c r="E279"/>
      <c r="F279" s="165"/>
    </row>
    <row r="280" spans="5:6" x14ac:dyDescent="0.25">
      <c r="E280"/>
      <c r="F280" s="165"/>
    </row>
    <row r="281" spans="5:6" x14ac:dyDescent="0.25">
      <c r="E281"/>
      <c r="F281" s="165"/>
    </row>
    <row r="282" spans="5:6" x14ac:dyDescent="0.25">
      <c r="E282"/>
      <c r="F282" s="165"/>
    </row>
    <row r="283" spans="5:6" x14ac:dyDescent="0.25">
      <c r="E283"/>
      <c r="F283" s="165"/>
    </row>
    <row r="284" spans="5:6" x14ac:dyDescent="0.25">
      <c r="E284"/>
      <c r="F284" s="165"/>
    </row>
    <row r="285" spans="5:6" x14ac:dyDescent="0.25">
      <c r="E285"/>
      <c r="F285" s="165"/>
    </row>
    <row r="286" spans="5:6" x14ac:dyDescent="0.25">
      <c r="E286"/>
      <c r="F286" s="165"/>
    </row>
    <row r="287" spans="5:6" x14ac:dyDescent="0.25">
      <c r="E287"/>
      <c r="F287" s="165"/>
    </row>
    <row r="288" spans="5:6" x14ac:dyDescent="0.25">
      <c r="E288"/>
      <c r="F288" s="165"/>
    </row>
    <row r="289" spans="5:6" x14ac:dyDescent="0.25">
      <c r="E289"/>
      <c r="F289" s="165"/>
    </row>
    <row r="290" spans="5:6" x14ac:dyDescent="0.25">
      <c r="E290"/>
      <c r="F290" s="165"/>
    </row>
    <row r="291" spans="5:6" x14ac:dyDescent="0.25">
      <c r="E291"/>
      <c r="F291" s="165"/>
    </row>
    <row r="292" spans="5:6" x14ac:dyDescent="0.25">
      <c r="E292"/>
      <c r="F292" s="165"/>
    </row>
    <row r="293" spans="5:6" x14ac:dyDescent="0.25">
      <c r="E293"/>
      <c r="F293" s="165"/>
    </row>
    <row r="294" spans="5:6" x14ac:dyDescent="0.25">
      <c r="E294"/>
      <c r="F294" s="165"/>
    </row>
    <row r="295" spans="5:6" x14ac:dyDescent="0.25">
      <c r="E295"/>
      <c r="F295" s="165"/>
    </row>
    <row r="296" spans="5:6" x14ac:dyDescent="0.25">
      <c r="E296"/>
      <c r="F296" s="165"/>
    </row>
    <row r="297" spans="5:6" x14ac:dyDescent="0.25">
      <c r="E297"/>
      <c r="F297" s="165"/>
    </row>
    <row r="298" spans="5:6" x14ac:dyDescent="0.25">
      <c r="E298"/>
      <c r="F298" s="165"/>
    </row>
    <row r="299" spans="5:6" x14ac:dyDescent="0.25">
      <c r="E299"/>
      <c r="F299" s="165"/>
    </row>
    <row r="300" spans="5:6" x14ac:dyDescent="0.25">
      <c r="E300"/>
      <c r="F300" s="165"/>
    </row>
    <row r="301" spans="5:6" x14ac:dyDescent="0.25">
      <c r="E301"/>
      <c r="F301" s="165"/>
    </row>
    <row r="302" spans="5:6" x14ac:dyDescent="0.25">
      <c r="E302"/>
      <c r="F302" s="165"/>
    </row>
    <row r="303" spans="5:6" x14ac:dyDescent="0.25">
      <c r="E303"/>
      <c r="F303" s="165"/>
    </row>
    <row r="304" spans="5:6" x14ac:dyDescent="0.25">
      <c r="E304"/>
      <c r="F304" s="165"/>
    </row>
    <row r="305" spans="5:6" x14ac:dyDescent="0.25">
      <c r="E305"/>
      <c r="F305" s="165"/>
    </row>
    <row r="306" spans="5:6" x14ac:dyDescent="0.25">
      <c r="E306"/>
      <c r="F306" s="165"/>
    </row>
    <row r="307" spans="5:6" x14ac:dyDescent="0.25">
      <c r="E307"/>
      <c r="F307" s="165"/>
    </row>
    <row r="308" spans="5:6" x14ac:dyDescent="0.25">
      <c r="E308"/>
      <c r="F308" s="165"/>
    </row>
    <row r="309" spans="5:6" x14ac:dyDescent="0.25">
      <c r="E309"/>
      <c r="F309" s="165"/>
    </row>
    <row r="310" spans="5:6" x14ac:dyDescent="0.25">
      <c r="E310"/>
      <c r="F310" s="165"/>
    </row>
    <row r="311" spans="5:6" x14ac:dyDescent="0.25">
      <c r="E311"/>
      <c r="F311" s="165"/>
    </row>
    <row r="312" spans="5:6" x14ac:dyDescent="0.25">
      <c r="E312"/>
      <c r="F312" s="165"/>
    </row>
    <row r="313" spans="5:6" x14ac:dyDescent="0.25">
      <c r="E313"/>
      <c r="F313" s="165"/>
    </row>
    <row r="314" spans="5:6" x14ac:dyDescent="0.25">
      <c r="E314"/>
      <c r="F314" s="165"/>
    </row>
    <row r="315" spans="5:6" x14ac:dyDescent="0.25">
      <c r="E315"/>
      <c r="F315" s="165"/>
    </row>
    <row r="316" spans="5:6" x14ac:dyDescent="0.25">
      <c r="E316"/>
      <c r="F316" s="165"/>
    </row>
    <row r="317" spans="5:6" x14ac:dyDescent="0.25">
      <c r="E317"/>
      <c r="F317" s="165"/>
    </row>
    <row r="318" spans="5:6" x14ac:dyDescent="0.25">
      <c r="E318"/>
      <c r="F318" s="165"/>
    </row>
    <row r="319" spans="5:6" x14ac:dyDescent="0.25">
      <c r="E319"/>
      <c r="F319" s="165"/>
    </row>
    <row r="320" spans="5:6" x14ac:dyDescent="0.25">
      <c r="E320"/>
      <c r="F320" s="165"/>
    </row>
    <row r="321" spans="5:6" x14ac:dyDescent="0.25">
      <c r="E321"/>
      <c r="F321" s="165"/>
    </row>
    <row r="322" spans="5:6" x14ac:dyDescent="0.25">
      <c r="E322"/>
      <c r="F322" s="165"/>
    </row>
    <row r="323" spans="5:6" x14ac:dyDescent="0.25">
      <c r="E323"/>
      <c r="F323" s="165"/>
    </row>
    <row r="324" spans="5:6" x14ac:dyDescent="0.25">
      <c r="E324"/>
      <c r="F324" s="165"/>
    </row>
    <row r="325" spans="5:6" x14ac:dyDescent="0.25">
      <c r="E325"/>
      <c r="F325" s="165"/>
    </row>
    <row r="326" spans="5:6" x14ac:dyDescent="0.25">
      <c r="E326"/>
      <c r="F326" s="165"/>
    </row>
    <row r="327" spans="5:6" x14ac:dyDescent="0.25">
      <c r="E327"/>
      <c r="F327" s="165"/>
    </row>
    <row r="328" spans="5:6" x14ac:dyDescent="0.25">
      <c r="E328"/>
      <c r="F328" s="165"/>
    </row>
    <row r="329" spans="5:6" x14ac:dyDescent="0.25">
      <c r="E329"/>
      <c r="F329" s="165"/>
    </row>
    <row r="330" spans="5:6" x14ac:dyDescent="0.25">
      <c r="E330"/>
      <c r="F330" s="165"/>
    </row>
    <row r="331" spans="5:6" x14ac:dyDescent="0.25">
      <c r="E331"/>
      <c r="F331" s="165"/>
    </row>
    <row r="332" spans="5:6" x14ac:dyDescent="0.25">
      <c r="E332"/>
      <c r="F332" s="165"/>
    </row>
    <row r="333" spans="5:6" x14ac:dyDescent="0.25">
      <c r="E333"/>
      <c r="F333" s="165"/>
    </row>
    <row r="334" spans="5:6" x14ac:dyDescent="0.25">
      <c r="E334"/>
      <c r="F334" s="165"/>
    </row>
    <row r="335" spans="5:6" x14ac:dyDescent="0.25">
      <c r="E335"/>
      <c r="F335" s="165"/>
    </row>
    <row r="336" spans="5:6" x14ac:dyDescent="0.25">
      <c r="E336"/>
      <c r="F336" s="165"/>
    </row>
    <row r="337" spans="5:6" x14ac:dyDescent="0.25">
      <c r="E337"/>
      <c r="F337" s="165"/>
    </row>
    <row r="338" spans="5:6" x14ac:dyDescent="0.25">
      <c r="E338"/>
      <c r="F338" s="165"/>
    </row>
    <row r="339" spans="5:6" x14ac:dyDescent="0.25">
      <c r="E339"/>
      <c r="F339" s="165"/>
    </row>
    <row r="340" spans="5:6" x14ac:dyDescent="0.25">
      <c r="E340"/>
      <c r="F340" s="165"/>
    </row>
    <row r="341" spans="5:6" x14ac:dyDescent="0.25">
      <c r="E341"/>
      <c r="F341" s="165"/>
    </row>
    <row r="342" spans="5:6" x14ac:dyDescent="0.25">
      <c r="E342"/>
      <c r="F342" s="165"/>
    </row>
    <row r="343" spans="5:6" x14ac:dyDescent="0.25">
      <c r="E343"/>
      <c r="F343" s="165"/>
    </row>
    <row r="344" spans="5:6" x14ac:dyDescent="0.25">
      <c r="E344"/>
      <c r="F344" s="165"/>
    </row>
    <row r="345" spans="5:6" x14ac:dyDescent="0.25">
      <c r="E345"/>
      <c r="F345" s="165"/>
    </row>
    <row r="346" spans="5:6" x14ac:dyDescent="0.25">
      <c r="E346"/>
      <c r="F346" s="165"/>
    </row>
    <row r="347" spans="5:6" x14ac:dyDescent="0.25">
      <c r="E347"/>
      <c r="F347" s="165"/>
    </row>
    <row r="348" spans="5:6" x14ac:dyDescent="0.25">
      <c r="E348"/>
      <c r="F348" s="165"/>
    </row>
  </sheetData>
  <autoFilter ref="A1:J241" xr:uid="{00000000-0001-0000-0200-000000000000}"/>
  <sortState xmlns:xlrd2="http://schemas.microsoft.com/office/spreadsheetml/2017/richdata2" ref="E2:F352">
    <sortCondition ref="F3:F352"/>
  </sortState>
  <conditionalFormatting sqref="A1:B1 E1:F179 A3:B1048576 E349:F1048576">
    <cfRule type="containsText" dxfId="0" priority="2" operator="containsText" text="tbi">
      <formula>NOT(ISERROR(SEARCH("tbi",A1)))</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pageSetUpPr fitToPage="1"/>
  </sheetPr>
  <dimension ref="A1:J37"/>
  <sheetViews>
    <sheetView workbookViewId="0">
      <selection activeCell="D32" sqref="D32"/>
    </sheetView>
  </sheetViews>
  <sheetFormatPr baseColWidth="10" defaultColWidth="8.5" defaultRowHeight="15" x14ac:dyDescent="0.2"/>
  <cols>
    <col min="1" max="1" width="15.5" customWidth="1"/>
    <col min="2" max="2" width="12" customWidth="1"/>
    <col min="3" max="3" width="15.5" customWidth="1"/>
    <col min="4" max="4" width="20.5" customWidth="1"/>
    <col min="5" max="5" width="12" customWidth="1"/>
    <col min="6" max="6" width="10" customWidth="1"/>
    <col min="7" max="7" width="17.5" customWidth="1"/>
    <col min="8" max="8" width="23.5" customWidth="1"/>
    <col min="9" max="9" width="20.5" customWidth="1"/>
    <col min="10" max="10" width="2.5" customWidth="1"/>
  </cols>
  <sheetData>
    <row r="1" spans="1:10" ht="19" x14ac:dyDescent="0.25">
      <c r="A1" s="2"/>
      <c r="B1" s="3"/>
      <c r="C1" s="3"/>
      <c r="D1" s="2"/>
      <c r="E1" s="2"/>
      <c r="F1" s="2"/>
      <c r="G1" s="10"/>
      <c r="H1" s="10"/>
      <c r="I1" s="5" t="s">
        <v>37</v>
      </c>
      <c r="J1" s="5"/>
    </row>
    <row r="2" spans="1:10" ht="19" x14ac:dyDescent="0.25">
      <c r="A2" s="2"/>
      <c r="B2" s="4"/>
      <c r="C2" s="4"/>
      <c r="D2" s="4"/>
      <c r="E2" s="4"/>
      <c r="F2" s="10"/>
      <c r="G2" s="4"/>
      <c r="H2" s="4"/>
      <c r="I2" s="11" t="s">
        <v>38</v>
      </c>
      <c r="J2" s="11"/>
    </row>
    <row r="3" spans="1:10" x14ac:dyDescent="0.2">
      <c r="A3" s="12"/>
      <c r="B3" s="12"/>
      <c r="C3" s="13"/>
      <c r="D3" s="334" t="s">
        <v>39</v>
      </c>
      <c r="E3" s="335"/>
      <c r="F3" s="335"/>
      <c r="G3" s="335"/>
      <c r="H3" s="335"/>
      <c r="I3" s="335"/>
      <c r="J3" s="14"/>
    </row>
    <row r="4" spans="1:10" ht="60" customHeight="1" thickBot="1" x14ac:dyDescent="0.25">
      <c r="A4" s="15"/>
      <c r="B4" s="15"/>
      <c r="C4" s="16"/>
      <c r="D4" s="336"/>
      <c r="E4" s="336"/>
      <c r="F4" s="336"/>
      <c r="G4" s="336"/>
      <c r="H4" s="336"/>
      <c r="I4" s="336"/>
      <c r="J4" s="14"/>
    </row>
    <row r="5" spans="1:10" x14ac:dyDescent="0.2">
      <c r="A5" s="331" t="s">
        <v>40</v>
      </c>
      <c r="B5" s="332"/>
      <c r="C5" s="332"/>
      <c r="D5" s="332"/>
      <c r="E5" s="332"/>
      <c r="F5" s="337" t="s">
        <v>41</v>
      </c>
      <c r="G5" s="338"/>
      <c r="H5" s="338"/>
      <c r="I5" s="17" t="s">
        <v>42</v>
      </c>
      <c r="J5" s="18"/>
    </row>
    <row r="6" spans="1:10" ht="16" thickBot="1" x14ac:dyDescent="0.25">
      <c r="A6" s="339"/>
      <c r="B6" s="340"/>
      <c r="C6" s="340"/>
      <c r="D6" s="340"/>
      <c r="E6" s="341"/>
      <c r="F6" s="342"/>
      <c r="G6" s="340"/>
      <c r="H6" s="341"/>
      <c r="I6" s="19"/>
      <c r="J6" s="20"/>
    </row>
    <row r="7" spans="1:10" ht="16" thickBot="1" x14ac:dyDescent="0.25">
      <c r="A7" s="7"/>
      <c r="B7" s="7"/>
      <c r="C7" s="1"/>
      <c r="D7" s="1"/>
      <c r="E7" s="1"/>
      <c r="F7" s="1"/>
      <c r="G7" s="7"/>
      <c r="H7" s="7"/>
      <c r="I7" s="21"/>
      <c r="J7" s="1"/>
    </row>
    <row r="8" spans="1:10" x14ac:dyDescent="0.2">
      <c r="A8" s="329" t="s">
        <v>43</v>
      </c>
      <c r="B8" s="330"/>
      <c r="C8" s="331" t="s">
        <v>44</v>
      </c>
      <c r="D8" s="332"/>
      <c r="E8" s="332"/>
      <c r="F8" s="332"/>
      <c r="G8" s="332"/>
      <c r="H8" s="332"/>
      <c r="I8" s="333"/>
      <c r="J8" s="22"/>
    </row>
    <row r="9" spans="1:10" x14ac:dyDescent="0.2">
      <c r="A9" s="23" t="s">
        <v>45</v>
      </c>
      <c r="B9" s="24"/>
      <c r="C9" s="345"/>
      <c r="D9" s="346"/>
      <c r="E9" s="346"/>
      <c r="F9" s="346"/>
      <c r="G9" s="346"/>
      <c r="H9" s="346"/>
      <c r="I9" s="347"/>
      <c r="J9" s="14"/>
    </row>
    <row r="10" spans="1:10" ht="16" thickBot="1" x14ac:dyDescent="0.25">
      <c r="A10" s="25" t="s">
        <v>46</v>
      </c>
      <c r="B10" s="26"/>
      <c r="C10" s="348"/>
      <c r="D10" s="349"/>
      <c r="E10" s="349"/>
      <c r="F10" s="349"/>
      <c r="G10" s="349"/>
      <c r="H10" s="349"/>
      <c r="I10" s="350"/>
      <c r="J10" s="14"/>
    </row>
    <row r="11" spans="1:10" x14ac:dyDescent="0.2">
      <c r="A11" s="1"/>
      <c r="B11" s="1"/>
      <c r="C11" s="1"/>
      <c r="D11" s="1"/>
      <c r="E11" s="1"/>
      <c r="F11" s="1"/>
      <c r="G11" s="1"/>
      <c r="H11" s="1"/>
      <c r="I11" s="1"/>
      <c r="J11" s="1"/>
    </row>
    <row r="12" spans="1:10" ht="16" thickBot="1" x14ac:dyDescent="0.25">
      <c r="A12" s="6" t="s">
        <v>47</v>
      </c>
      <c r="B12" s="7"/>
      <c r="C12" s="7"/>
      <c r="D12" s="7"/>
      <c r="E12" s="7"/>
      <c r="F12" s="7"/>
      <c r="G12" s="7"/>
      <c r="H12" s="7"/>
      <c r="I12" s="7"/>
      <c r="J12" s="1"/>
    </row>
    <row r="13" spans="1:10" ht="22.25" customHeight="1" thickBot="1" x14ac:dyDescent="0.25">
      <c r="A13" s="27" t="s">
        <v>48</v>
      </c>
      <c r="B13" s="28" t="s">
        <v>49</v>
      </c>
      <c r="C13" s="28" t="s">
        <v>50</v>
      </c>
      <c r="D13" s="28" t="s">
        <v>51</v>
      </c>
      <c r="E13" s="28" t="s">
        <v>52</v>
      </c>
      <c r="F13" s="28" t="s">
        <v>53</v>
      </c>
      <c r="G13" s="28" t="s">
        <v>54</v>
      </c>
      <c r="H13" s="29" t="s">
        <v>55</v>
      </c>
      <c r="I13" s="30" t="s">
        <v>56</v>
      </c>
      <c r="J13" s="31"/>
    </row>
    <row r="14" spans="1:10" x14ac:dyDescent="0.2">
      <c r="A14" s="32"/>
      <c r="B14" s="33"/>
      <c r="C14" s="33"/>
      <c r="D14" s="33"/>
      <c r="E14" s="33"/>
      <c r="F14" s="33"/>
      <c r="G14" s="33"/>
      <c r="H14" s="34"/>
      <c r="I14" s="35">
        <f t="shared" ref="I14:I21" si="0">SUM(B14:H14)</f>
        <v>0</v>
      </c>
      <c r="J14" s="36"/>
    </row>
    <row r="15" spans="1:10" x14ac:dyDescent="0.2">
      <c r="A15" s="37"/>
      <c r="B15" s="38"/>
      <c r="C15" s="38"/>
      <c r="D15" s="38"/>
      <c r="E15" s="38"/>
      <c r="F15" s="38"/>
      <c r="G15" s="38"/>
      <c r="H15" s="39"/>
      <c r="I15" s="40">
        <f t="shared" si="0"/>
        <v>0</v>
      </c>
      <c r="J15" s="36"/>
    </row>
    <row r="16" spans="1:10" x14ac:dyDescent="0.2">
      <c r="A16" s="37"/>
      <c r="B16" s="38"/>
      <c r="C16" s="38"/>
      <c r="D16" s="38"/>
      <c r="E16" s="38"/>
      <c r="F16" s="38"/>
      <c r="G16" s="38"/>
      <c r="H16" s="39"/>
      <c r="I16" s="40">
        <f t="shared" si="0"/>
        <v>0</v>
      </c>
      <c r="J16" s="36"/>
    </row>
    <row r="17" spans="1:10" x14ac:dyDescent="0.2">
      <c r="A17" s="37"/>
      <c r="B17" s="38"/>
      <c r="C17" s="38"/>
      <c r="D17" s="38"/>
      <c r="E17" s="38"/>
      <c r="F17" s="38"/>
      <c r="G17" s="38"/>
      <c r="H17" s="39"/>
      <c r="I17" s="40">
        <f t="shared" si="0"/>
        <v>0</v>
      </c>
      <c r="J17" s="36"/>
    </row>
    <row r="18" spans="1:10" x14ac:dyDescent="0.2">
      <c r="A18" s="37"/>
      <c r="B18" s="38"/>
      <c r="C18" s="38"/>
      <c r="D18" s="38"/>
      <c r="E18" s="38"/>
      <c r="F18" s="38"/>
      <c r="G18" s="38"/>
      <c r="H18" s="39"/>
      <c r="I18" s="40">
        <f t="shared" si="0"/>
        <v>0</v>
      </c>
      <c r="J18" s="36"/>
    </row>
    <row r="19" spans="1:10" x14ac:dyDescent="0.2">
      <c r="A19" s="37"/>
      <c r="B19" s="38"/>
      <c r="C19" s="38"/>
      <c r="D19" s="38"/>
      <c r="E19" s="38"/>
      <c r="F19" s="38"/>
      <c r="G19" s="38"/>
      <c r="H19" s="39"/>
      <c r="I19" s="40">
        <f t="shared" si="0"/>
        <v>0</v>
      </c>
      <c r="J19" s="36"/>
    </row>
    <row r="20" spans="1:10" x14ac:dyDescent="0.2">
      <c r="A20" s="37"/>
      <c r="B20" s="38"/>
      <c r="C20" s="38"/>
      <c r="D20" s="38"/>
      <c r="E20" s="38"/>
      <c r="F20" s="38"/>
      <c r="G20" s="38"/>
      <c r="H20" s="39"/>
      <c r="I20" s="40">
        <f t="shared" si="0"/>
        <v>0</v>
      </c>
      <c r="J20" s="36"/>
    </row>
    <row r="21" spans="1:10" ht="16" thickBot="1" x14ac:dyDescent="0.25">
      <c r="A21" s="41"/>
      <c r="B21" s="42"/>
      <c r="C21" s="42"/>
      <c r="D21" s="42"/>
      <c r="E21" s="42"/>
      <c r="F21" s="42"/>
      <c r="G21" s="42"/>
      <c r="H21" s="43"/>
      <c r="I21" s="44">
        <f t="shared" si="0"/>
        <v>0</v>
      </c>
      <c r="J21" s="36"/>
    </row>
    <row r="22" spans="1:10" ht="30" customHeight="1" thickBot="1" x14ac:dyDescent="0.25">
      <c r="A22" s="45" t="s">
        <v>57</v>
      </c>
      <c r="B22" s="46">
        <f t="shared" ref="B22:I22" si="1">SUM(B14:B21)</f>
        <v>0</v>
      </c>
      <c r="C22" s="46">
        <f t="shared" si="1"/>
        <v>0</v>
      </c>
      <c r="D22" s="46">
        <f t="shared" si="1"/>
        <v>0</v>
      </c>
      <c r="E22" s="46">
        <f t="shared" si="1"/>
        <v>0</v>
      </c>
      <c r="F22" s="46">
        <f t="shared" si="1"/>
        <v>0</v>
      </c>
      <c r="G22" s="46">
        <f t="shared" si="1"/>
        <v>0</v>
      </c>
      <c r="H22" s="47">
        <f t="shared" si="1"/>
        <v>0</v>
      </c>
      <c r="I22" s="48">
        <f t="shared" si="1"/>
        <v>0</v>
      </c>
      <c r="J22" s="49" t="s">
        <v>58</v>
      </c>
    </row>
    <row r="23" spans="1:10" x14ac:dyDescent="0.2">
      <c r="A23" s="2"/>
      <c r="B23" s="2"/>
      <c r="C23" s="2"/>
      <c r="D23" s="2"/>
      <c r="E23" s="2"/>
      <c r="F23" s="2"/>
      <c r="G23" s="2"/>
      <c r="H23" s="2"/>
      <c r="I23" s="2"/>
      <c r="J23" s="2"/>
    </row>
    <row r="24" spans="1:10" ht="16" thickBot="1" x14ac:dyDescent="0.25">
      <c r="A24" s="6" t="s">
        <v>59</v>
      </c>
      <c r="B24" s="6"/>
      <c r="C24" s="6"/>
      <c r="D24" s="6"/>
      <c r="E24" s="6"/>
      <c r="F24" s="6"/>
      <c r="G24" s="6"/>
      <c r="H24" s="6"/>
      <c r="I24" s="15"/>
      <c r="J24" s="2"/>
    </row>
    <row r="25" spans="1:10" s="52" customFormat="1" ht="22.25" customHeight="1" thickBot="1" x14ac:dyDescent="0.25">
      <c r="A25" s="50" t="s">
        <v>48</v>
      </c>
      <c r="B25" s="28" t="s">
        <v>60</v>
      </c>
      <c r="C25" s="28" t="s">
        <v>61</v>
      </c>
      <c r="D25" s="28" t="s">
        <v>62</v>
      </c>
      <c r="E25" s="28" t="s">
        <v>56</v>
      </c>
      <c r="F25" s="288" t="s">
        <v>63</v>
      </c>
      <c r="G25" s="351"/>
      <c r="H25" s="352"/>
      <c r="I25" s="51" t="s">
        <v>64</v>
      </c>
      <c r="J25" s="31"/>
    </row>
    <row r="26" spans="1:10" x14ac:dyDescent="0.2">
      <c r="A26" s="32"/>
      <c r="B26" s="33"/>
      <c r="C26" s="33"/>
      <c r="D26" s="33"/>
      <c r="E26" s="33">
        <f t="shared" ref="E26:E33" si="2">SUM(B26:D26)</f>
        <v>0</v>
      </c>
      <c r="F26" s="353"/>
      <c r="G26" s="354"/>
      <c r="H26" s="355"/>
      <c r="I26" s="53"/>
      <c r="J26" s="36"/>
    </row>
    <row r="27" spans="1:10" x14ac:dyDescent="0.2">
      <c r="A27" s="37"/>
      <c r="B27" s="38"/>
      <c r="C27" s="38"/>
      <c r="D27" s="38"/>
      <c r="E27" s="38">
        <f t="shared" si="2"/>
        <v>0</v>
      </c>
      <c r="F27" s="356"/>
      <c r="G27" s="357"/>
      <c r="H27" s="358"/>
      <c r="I27" s="54"/>
      <c r="J27" s="36"/>
    </row>
    <row r="28" spans="1:10" x14ac:dyDescent="0.2">
      <c r="A28" s="37"/>
      <c r="B28" s="38"/>
      <c r="C28" s="38"/>
      <c r="D28" s="38"/>
      <c r="E28" s="38">
        <f t="shared" si="2"/>
        <v>0</v>
      </c>
      <c r="F28" s="356"/>
      <c r="G28" s="359"/>
      <c r="H28" s="360"/>
      <c r="I28" s="54"/>
      <c r="J28" s="36"/>
    </row>
    <row r="29" spans="1:10" x14ac:dyDescent="0.2">
      <c r="A29" s="37"/>
      <c r="B29" s="38"/>
      <c r="C29" s="38"/>
      <c r="D29" s="38"/>
      <c r="E29" s="38">
        <f t="shared" si="2"/>
        <v>0</v>
      </c>
      <c r="F29" s="356"/>
      <c r="G29" s="359"/>
      <c r="H29" s="360"/>
      <c r="I29" s="54"/>
      <c r="J29" s="36"/>
    </row>
    <row r="30" spans="1:10" x14ac:dyDescent="0.2">
      <c r="A30" s="37"/>
      <c r="B30" s="38"/>
      <c r="C30" s="38"/>
      <c r="D30" s="38"/>
      <c r="E30" s="38">
        <f t="shared" si="2"/>
        <v>0</v>
      </c>
      <c r="F30" s="356"/>
      <c r="G30" s="357"/>
      <c r="H30" s="358"/>
      <c r="I30" s="54"/>
      <c r="J30" s="36"/>
    </row>
    <row r="31" spans="1:10" x14ac:dyDescent="0.2">
      <c r="A31" s="37"/>
      <c r="B31" s="38"/>
      <c r="C31" s="38"/>
      <c r="D31" s="38"/>
      <c r="E31" s="38">
        <f t="shared" si="2"/>
        <v>0</v>
      </c>
      <c r="F31" s="356"/>
      <c r="G31" s="357"/>
      <c r="H31" s="358"/>
      <c r="I31" s="54"/>
      <c r="J31" s="36"/>
    </row>
    <row r="32" spans="1:10" x14ac:dyDescent="0.2">
      <c r="A32" s="37"/>
      <c r="B32" s="38"/>
      <c r="C32" s="38"/>
      <c r="D32" s="38"/>
      <c r="E32" s="38">
        <f t="shared" si="2"/>
        <v>0</v>
      </c>
      <c r="F32" s="356"/>
      <c r="G32" s="357"/>
      <c r="H32" s="358"/>
      <c r="I32" s="54"/>
      <c r="J32" s="36"/>
    </row>
    <row r="33" spans="1:10" ht="16" thickBot="1" x14ac:dyDescent="0.25">
      <c r="A33" s="41"/>
      <c r="B33" s="42"/>
      <c r="C33" s="42"/>
      <c r="D33" s="42"/>
      <c r="E33" s="42">
        <f t="shared" si="2"/>
        <v>0</v>
      </c>
      <c r="F33" s="342"/>
      <c r="G33" s="361"/>
      <c r="H33" s="362"/>
      <c r="I33" s="55"/>
      <c r="J33" s="36"/>
    </row>
    <row r="34" spans="1:10" ht="30" customHeight="1" thickBot="1" x14ac:dyDescent="0.25">
      <c r="A34" s="27" t="s">
        <v>65</v>
      </c>
      <c r="B34" s="46">
        <f>SUM(B26:B33)</f>
        <v>0</v>
      </c>
      <c r="C34" s="46">
        <f>SUM(C26:C33)</f>
        <v>0</v>
      </c>
      <c r="D34" s="47">
        <f>SUM(D26:D33)</f>
        <v>0</v>
      </c>
      <c r="E34" s="48">
        <f>SUM(E26:E33)</f>
        <v>0</v>
      </c>
      <c r="F34" s="363" t="s">
        <v>66</v>
      </c>
      <c r="G34" s="363"/>
      <c r="H34" s="364"/>
      <c r="I34" s="48">
        <f>SUM(I26:I33)</f>
        <v>0</v>
      </c>
      <c r="J34" s="49" t="s">
        <v>67</v>
      </c>
    </row>
    <row r="35" spans="1:10" ht="16" thickBot="1" x14ac:dyDescent="0.25">
      <c r="A35" s="56"/>
      <c r="B35" s="56"/>
      <c r="C35" s="56"/>
      <c r="D35" s="56"/>
      <c r="E35" s="57" t="s">
        <v>68</v>
      </c>
      <c r="F35" s="56"/>
      <c r="G35" s="56"/>
      <c r="H35" s="56"/>
      <c r="I35" s="56"/>
      <c r="J35" s="20"/>
    </row>
    <row r="36" spans="1:10" ht="30" customHeight="1" thickBot="1" x14ac:dyDescent="0.25">
      <c r="A36" s="58"/>
      <c r="B36" s="58"/>
      <c r="C36" s="58"/>
      <c r="D36" s="58"/>
      <c r="E36" s="2"/>
      <c r="F36" s="58"/>
      <c r="G36" s="343" t="s">
        <v>69</v>
      </c>
      <c r="H36" s="344"/>
      <c r="I36" s="59">
        <f>I22+E34+I34</f>
        <v>0</v>
      </c>
      <c r="J36" s="49"/>
    </row>
    <row r="37" spans="1:10" x14ac:dyDescent="0.2">
      <c r="G37" s="60"/>
    </row>
  </sheetData>
  <mergeCells count="19">
    <mergeCell ref="G36:H36"/>
    <mergeCell ref="C9:I10"/>
    <mergeCell ref="F25:H25"/>
    <mergeCell ref="F26:H26"/>
    <mergeCell ref="F27:H27"/>
    <mergeCell ref="F28:H28"/>
    <mergeCell ref="F29:H29"/>
    <mergeCell ref="F30:H30"/>
    <mergeCell ref="F31:H31"/>
    <mergeCell ref="F32:H32"/>
    <mergeCell ref="F33:H33"/>
    <mergeCell ref="F34:H34"/>
    <mergeCell ref="A8:B8"/>
    <mergeCell ref="C8:I8"/>
    <mergeCell ref="D3:I4"/>
    <mergeCell ref="A5:E5"/>
    <mergeCell ref="F5:H5"/>
    <mergeCell ref="A6:E6"/>
    <mergeCell ref="F6:H6"/>
  </mergeCells>
  <pageMargins left="0.5" right="0.5" top="0.5" bottom="0.5" header="0.3" footer="0.3"/>
  <pageSetup scale="83" orientation="landscape" r:id="rId1"/>
  <headerFooter>
    <oddHeader>&amp;C&amp;"Calibri,Bold Italic"&amp;14FORM EXP2000T</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4:C65"/>
  <sheetViews>
    <sheetView workbookViewId="0">
      <selection activeCell="D32" sqref="D32"/>
    </sheetView>
  </sheetViews>
  <sheetFormatPr baseColWidth="10" defaultColWidth="8.5" defaultRowHeight="13" x14ac:dyDescent="0.15"/>
  <cols>
    <col min="1" max="1" width="36.5" style="67" customWidth="1"/>
    <col min="2" max="2" width="33.5" style="67" customWidth="1"/>
    <col min="3" max="3" width="45.5" style="67" customWidth="1"/>
    <col min="4" max="16384" width="8.5" style="67"/>
  </cols>
  <sheetData>
    <row r="4" spans="1:3" x14ac:dyDescent="0.15">
      <c r="A4" s="71"/>
    </row>
    <row r="5" spans="1:3" x14ac:dyDescent="0.15">
      <c r="A5" s="71" t="s">
        <v>70</v>
      </c>
    </row>
    <row r="6" spans="1:3" x14ac:dyDescent="0.15">
      <c r="A6" s="71"/>
    </row>
    <row r="7" spans="1:3" ht="30" customHeight="1" x14ac:dyDescent="0.15">
      <c r="A7" s="388" t="s">
        <v>71</v>
      </c>
      <c r="B7" s="388"/>
      <c r="C7" s="388"/>
    </row>
    <row r="8" spans="1:3" ht="45.5" customHeight="1" x14ac:dyDescent="0.15">
      <c r="A8" s="388" t="s">
        <v>72</v>
      </c>
      <c r="B8" s="388"/>
      <c r="C8" s="388"/>
    </row>
    <row r="9" spans="1:3" ht="32" customHeight="1" x14ac:dyDescent="0.15">
      <c r="A9" s="388" t="s">
        <v>73</v>
      </c>
      <c r="B9" s="388"/>
      <c r="C9" s="388"/>
    </row>
    <row r="10" spans="1:3" ht="28.25" customHeight="1" x14ac:dyDescent="0.15">
      <c r="A10" s="388" t="s">
        <v>74</v>
      </c>
      <c r="B10" s="388"/>
      <c r="C10" s="388"/>
    </row>
    <row r="11" spans="1:3" ht="14" thickBot="1" x14ac:dyDescent="0.2"/>
    <row r="12" spans="1:3" ht="0.5" customHeight="1" thickBot="1" x14ac:dyDescent="0.2"/>
    <row r="13" spans="1:3" ht="27" customHeight="1" thickBot="1" x14ac:dyDescent="0.2">
      <c r="A13" s="72" t="s">
        <v>75</v>
      </c>
    </row>
    <row r="14" spans="1:3" ht="14" thickBot="1" x14ac:dyDescent="0.2">
      <c r="A14" s="62"/>
    </row>
    <row r="15" spans="1:3" x14ac:dyDescent="0.15">
      <c r="A15" s="368" t="s">
        <v>76</v>
      </c>
      <c r="B15" s="368" t="s">
        <v>77</v>
      </c>
      <c r="C15" s="368" t="s">
        <v>78</v>
      </c>
    </row>
    <row r="16" spans="1:3" ht="14" thickBot="1" x14ac:dyDescent="0.2">
      <c r="A16" s="369"/>
      <c r="B16" s="369"/>
      <c r="C16" s="369"/>
    </row>
    <row r="17" spans="1:3" ht="14" thickBot="1" x14ac:dyDescent="0.2">
      <c r="A17" s="62"/>
    </row>
    <row r="18" spans="1:3" x14ac:dyDescent="0.15">
      <c r="A18" s="370" t="s">
        <v>79</v>
      </c>
      <c r="B18" s="371"/>
      <c r="C18" s="372"/>
    </row>
    <row r="19" spans="1:3" ht="30.5" customHeight="1" thickBot="1" x14ac:dyDescent="0.2">
      <c r="A19" s="373" t="s">
        <v>80</v>
      </c>
      <c r="B19" s="374"/>
      <c r="C19" s="375"/>
    </row>
    <row r="20" spans="1:3" x14ac:dyDescent="0.15">
      <c r="A20" s="64"/>
      <c r="B20" s="65"/>
      <c r="C20" s="65"/>
    </row>
    <row r="21" spans="1:3" x14ac:dyDescent="0.15">
      <c r="A21" s="74"/>
      <c r="B21" s="75"/>
      <c r="C21" s="75"/>
    </row>
    <row r="22" spans="1:3" ht="14" x14ac:dyDescent="0.15">
      <c r="A22" s="68" t="s">
        <v>81</v>
      </c>
      <c r="B22" s="85" t="s">
        <v>82</v>
      </c>
      <c r="C22" s="85" t="s">
        <v>83</v>
      </c>
    </row>
    <row r="23" spans="1:3" x14ac:dyDescent="0.15">
      <c r="A23" s="74"/>
      <c r="B23" s="75"/>
      <c r="C23" s="75"/>
    </row>
    <row r="24" spans="1:3" ht="14" x14ac:dyDescent="0.15">
      <c r="A24" s="68" t="s">
        <v>84</v>
      </c>
      <c r="B24" s="85" t="s">
        <v>85</v>
      </c>
      <c r="C24" s="65"/>
    </row>
    <row r="25" spans="1:3" x14ac:dyDescent="0.15">
      <c r="A25" s="74"/>
      <c r="B25" s="75"/>
      <c r="C25" s="75"/>
    </row>
    <row r="26" spans="1:3" ht="14" x14ac:dyDescent="0.15">
      <c r="A26" s="64"/>
      <c r="B26" s="65"/>
      <c r="C26" s="65" t="s">
        <v>86</v>
      </c>
    </row>
    <row r="27" spans="1:3" x14ac:dyDescent="0.15">
      <c r="A27" s="74"/>
      <c r="B27" s="75"/>
      <c r="C27" s="75"/>
    </row>
    <row r="28" spans="1:3" x14ac:dyDescent="0.15">
      <c r="A28" s="64"/>
      <c r="B28" s="75"/>
      <c r="C28" s="65"/>
    </row>
    <row r="29" spans="1:3" x14ac:dyDescent="0.15">
      <c r="A29" s="74"/>
      <c r="B29" s="75"/>
      <c r="C29" s="75"/>
    </row>
    <row r="30" spans="1:3" ht="14" thickBot="1" x14ac:dyDescent="0.2">
      <c r="A30" s="76"/>
      <c r="B30" s="77"/>
      <c r="C30" s="66"/>
    </row>
    <row r="31" spans="1:3" ht="41" customHeight="1" x14ac:dyDescent="0.15">
      <c r="A31" s="376" t="s">
        <v>87</v>
      </c>
      <c r="B31" s="377"/>
      <c r="C31" s="378"/>
    </row>
    <row r="32" spans="1:3" x14ac:dyDescent="0.15">
      <c r="A32" s="382"/>
      <c r="B32" s="383"/>
      <c r="C32" s="384"/>
    </row>
    <row r="33" spans="1:3" x14ac:dyDescent="0.15">
      <c r="A33" s="382"/>
      <c r="B33" s="383"/>
      <c r="C33" s="384"/>
    </row>
    <row r="34" spans="1:3" x14ac:dyDescent="0.15">
      <c r="A34" s="382"/>
      <c r="B34" s="383"/>
      <c r="C34" s="384"/>
    </row>
    <row r="35" spans="1:3" ht="66" customHeight="1" x14ac:dyDescent="0.15">
      <c r="A35" s="382" t="s">
        <v>88</v>
      </c>
      <c r="B35" s="383"/>
      <c r="C35" s="384"/>
    </row>
    <row r="36" spans="1:3" x14ac:dyDescent="0.15">
      <c r="A36" s="382"/>
      <c r="B36" s="383"/>
      <c r="C36" s="384"/>
    </row>
    <row r="37" spans="1:3" x14ac:dyDescent="0.15">
      <c r="A37" s="382"/>
      <c r="B37" s="383"/>
      <c r="C37" s="384"/>
    </row>
    <row r="38" spans="1:3" x14ac:dyDescent="0.15">
      <c r="A38" s="382"/>
      <c r="B38" s="383"/>
      <c r="C38" s="384"/>
    </row>
    <row r="39" spans="1:3" ht="66" customHeight="1" x14ac:dyDescent="0.15">
      <c r="A39" s="382" t="s">
        <v>88</v>
      </c>
      <c r="B39" s="383"/>
      <c r="C39" s="384"/>
    </row>
    <row r="40" spans="1:3" x14ac:dyDescent="0.15">
      <c r="A40" s="382"/>
      <c r="B40" s="383"/>
      <c r="C40" s="384"/>
    </row>
    <row r="41" spans="1:3" x14ac:dyDescent="0.15">
      <c r="A41" s="382"/>
      <c r="B41" s="383"/>
      <c r="C41" s="384"/>
    </row>
    <row r="42" spans="1:3" x14ac:dyDescent="0.15">
      <c r="A42" s="382"/>
      <c r="B42" s="383"/>
      <c r="C42" s="384"/>
    </row>
    <row r="43" spans="1:3" ht="66" customHeight="1" x14ac:dyDescent="0.15">
      <c r="A43" s="382" t="s">
        <v>88</v>
      </c>
      <c r="B43" s="383"/>
      <c r="C43" s="384"/>
    </row>
    <row r="44" spans="1:3" x14ac:dyDescent="0.15">
      <c r="A44" s="382"/>
      <c r="B44" s="383"/>
      <c r="C44" s="384"/>
    </row>
    <row r="45" spans="1:3" x14ac:dyDescent="0.15">
      <c r="A45" s="382"/>
      <c r="B45" s="383"/>
      <c r="C45" s="384"/>
    </row>
    <row r="46" spans="1:3" x14ac:dyDescent="0.15">
      <c r="A46" s="382"/>
      <c r="B46" s="383"/>
      <c r="C46" s="384"/>
    </row>
    <row r="47" spans="1:3" ht="66" customHeight="1" x14ac:dyDescent="0.15">
      <c r="A47" s="382" t="s">
        <v>88</v>
      </c>
      <c r="B47" s="383"/>
      <c r="C47" s="384"/>
    </row>
    <row r="48" spans="1:3" x14ac:dyDescent="0.15">
      <c r="A48" s="382"/>
      <c r="B48" s="383"/>
      <c r="C48" s="384"/>
    </row>
    <row r="49" spans="1:3" x14ac:dyDescent="0.15">
      <c r="A49" s="382"/>
      <c r="B49" s="383"/>
      <c r="C49" s="384"/>
    </row>
    <row r="50" spans="1:3" x14ac:dyDescent="0.15">
      <c r="A50" s="382"/>
      <c r="B50" s="383"/>
      <c r="C50" s="384"/>
    </row>
    <row r="51" spans="1:3" ht="66" customHeight="1" x14ac:dyDescent="0.15">
      <c r="A51" s="382" t="s">
        <v>88</v>
      </c>
      <c r="B51" s="383"/>
      <c r="C51" s="384"/>
    </row>
    <row r="52" spans="1:3" x14ac:dyDescent="0.15">
      <c r="A52" s="382"/>
      <c r="B52" s="383"/>
      <c r="C52" s="384"/>
    </row>
    <row r="53" spans="1:3" ht="14" thickBot="1" x14ac:dyDescent="0.2">
      <c r="A53" s="385"/>
      <c r="B53" s="386"/>
      <c r="C53" s="387"/>
    </row>
    <row r="54" spans="1:3" x14ac:dyDescent="0.15">
      <c r="A54" s="78"/>
      <c r="B54" s="79"/>
      <c r="C54" s="80"/>
    </row>
    <row r="55" spans="1:3" x14ac:dyDescent="0.15">
      <c r="A55" s="69"/>
      <c r="C55" s="81"/>
    </row>
    <row r="56" spans="1:3" x14ac:dyDescent="0.15">
      <c r="A56" s="379" t="s">
        <v>89</v>
      </c>
      <c r="B56" s="380"/>
      <c r="C56" s="381"/>
    </row>
    <row r="57" spans="1:3" ht="92" customHeight="1" x14ac:dyDescent="0.15">
      <c r="A57" s="365" t="s">
        <v>90</v>
      </c>
      <c r="B57" s="366"/>
      <c r="C57" s="367"/>
    </row>
    <row r="58" spans="1:3" ht="39.5" customHeight="1" x14ac:dyDescent="0.15">
      <c r="A58" s="365" t="s">
        <v>91</v>
      </c>
      <c r="B58" s="366"/>
      <c r="C58" s="367"/>
    </row>
    <row r="59" spans="1:3" x14ac:dyDescent="0.15">
      <c r="A59" s="82"/>
      <c r="C59" s="81"/>
    </row>
    <row r="60" spans="1:3" ht="23.75" customHeight="1" x14ac:dyDescent="0.15">
      <c r="A60" s="365" t="s">
        <v>92</v>
      </c>
      <c r="B60" s="366"/>
      <c r="C60" s="367"/>
    </row>
    <row r="61" spans="1:3" x14ac:dyDescent="0.15">
      <c r="A61" s="82"/>
      <c r="C61" s="81"/>
    </row>
    <row r="62" spans="1:3" ht="14" thickBot="1" x14ac:dyDescent="0.2">
      <c r="A62" s="70"/>
      <c r="B62" s="83"/>
      <c r="C62" s="84"/>
    </row>
    <row r="65" spans="1:1" x14ac:dyDescent="0.15">
      <c r="A65" s="73"/>
    </row>
  </sheetData>
  <mergeCells count="36">
    <mergeCell ref="A7:C7"/>
    <mergeCell ref="A8:C8"/>
    <mergeCell ref="A9:C9"/>
    <mergeCell ref="A10:C10"/>
    <mergeCell ref="A48:C48"/>
    <mergeCell ref="A32:C32"/>
    <mergeCell ref="A33:C33"/>
    <mergeCell ref="A34:C34"/>
    <mergeCell ref="A35:C35"/>
    <mergeCell ref="A36:C36"/>
    <mergeCell ref="A37:C37"/>
    <mergeCell ref="A39:C39"/>
    <mergeCell ref="A40:C40"/>
    <mergeCell ref="A41:C41"/>
    <mergeCell ref="A38:C38"/>
    <mergeCell ref="A49:C49"/>
    <mergeCell ref="A50:C50"/>
    <mergeCell ref="A51:C51"/>
    <mergeCell ref="A52:C52"/>
    <mergeCell ref="A53:C53"/>
    <mergeCell ref="A60:C60"/>
    <mergeCell ref="A15:A16"/>
    <mergeCell ref="B15:B16"/>
    <mergeCell ref="C15:C16"/>
    <mergeCell ref="A18:C18"/>
    <mergeCell ref="A19:C19"/>
    <mergeCell ref="A31:C31"/>
    <mergeCell ref="A58:C58"/>
    <mergeCell ref="A56:C56"/>
    <mergeCell ref="A57:C57"/>
    <mergeCell ref="A42:C42"/>
    <mergeCell ref="A43:C43"/>
    <mergeCell ref="A47:C47"/>
    <mergeCell ref="A44:C44"/>
    <mergeCell ref="A45:C45"/>
    <mergeCell ref="A46:C46"/>
  </mergeCells>
  <pageMargins left="0.7" right="0.7" top="0.75" bottom="0.75" header="0.3" footer="0.3"/>
  <pageSetup scale="5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0" r:id="rId4" name="Check Box 4">
              <controlPr defaultSize="0" autoFill="0" autoLine="0" autoPict="0">
                <anchor moveWithCells="1">
                  <from>
                    <xdr:col>1</xdr:col>
                    <xdr:colOff>139700</xdr:colOff>
                    <xdr:row>21</xdr:row>
                    <xdr:rowOff>0</xdr:rowOff>
                  </from>
                  <to>
                    <xdr:col>1</xdr:col>
                    <xdr:colOff>406400</xdr:colOff>
                    <xdr:row>22</xdr:row>
                    <xdr:rowOff>38100</xdr:rowOff>
                  </to>
                </anchor>
              </controlPr>
            </control>
          </mc:Choice>
        </mc:AlternateContent>
        <mc:AlternateContent xmlns:mc="http://schemas.openxmlformats.org/markup-compatibility/2006">
          <mc:Choice Requires="x14">
            <control shapeId="4103" r:id="rId5" name="Check Box 7">
              <controlPr defaultSize="0" autoFill="0" autoLine="0" autoPict="0">
                <anchor moveWithCells="1">
                  <from>
                    <xdr:col>1</xdr:col>
                    <xdr:colOff>152400</xdr:colOff>
                    <xdr:row>22</xdr:row>
                    <xdr:rowOff>152400</xdr:rowOff>
                  </from>
                  <to>
                    <xdr:col>1</xdr:col>
                    <xdr:colOff>406400</xdr:colOff>
                    <xdr:row>24</xdr:row>
                    <xdr:rowOff>25400</xdr:rowOff>
                  </to>
                </anchor>
              </controlPr>
            </control>
          </mc:Choice>
        </mc:AlternateContent>
        <mc:AlternateContent xmlns:mc="http://schemas.openxmlformats.org/markup-compatibility/2006">
          <mc:Choice Requires="x14">
            <control shapeId="4104" r:id="rId6" name="Check Box 8">
              <controlPr defaultSize="0" autoFill="0" autoLine="0" autoPict="0">
                <anchor moveWithCells="1">
                  <from>
                    <xdr:col>2</xdr:col>
                    <xdr:colOff>596900</xdr:colOff>
                    <xdr:row>20</xdr:row>
                    <xdr:rowOff>139700</xdr:rowOff>
                  </from>
                  <to>
                    <xdr:col>2</xdr:col>
                    <xdr:colOff>850900</xdr:colOff>
                    <xdr:row>22</xdr:row>
                    <xdr:rowOff>25400</xdr:rowOff>
                  </to>
                </anchor>
              </controlPr>
            </control>
          </mc:Choice>
        </mc:AlternateContent>
        <mc:AlternateContent xmlns:mc="http://schemas.openxmlformats.org/markup-compatibility/2006">
          <mc:Choice Requires="x14">
            <control shapeId="4105" r:id="rId7" name="Check Box 9">
              <controlPr defaultSize="0" autoFill="0" autoLine="0" autoPict="0">
                <anchor moveWithCells="1">
                  <from>
                    <xdr:col>0</xdr:col>
                    <xdr:colOff>139700</xdr:colOff>
                    <xdr:row>20</xdr:row>
                    <xdr:rowOff>139700</xdr:rowOff>
                  </from>
                  <to>
                    <xdr:col>0</xdr:col>
                    <xdr:colOff>406400</xdr:colOff>
                    <xdr:row>22</xdr:row>
                    <xdr:rowOff>25400</xdr:rowOff>
                  </to>
                </anchor>
              </controlPr>
            </control>
          </mc:Choice>
        </mc:AlternateContent>
        <mc:AlternateContent xmlns:mc="http://schemas.openxmlformats.org/markup-compatibility/2006">
          <mc:Choice Requires="x14">
            <control shapeId="4107" r:id="rId8" name="Check Box 11">
              <controlPr defaultSize="0" autoFill="0" autoLine="0" autoPict="0">
                <anchor moveWithCells="1">
                  <from>
                    <xdr:col>0</xdr:col>
                    <xdr:colOff>101600</xdr:colOff>
                    <xdr:row>22</xdr:row>
                    <xdr:rowOff>139700</xdr:rowOff>
                  </from>
                  <to>
                    <xdr:col>0</xdr:col>
                    <xdr:colOff>342900</xdr:colOff>
                    <xdr:row>24</xdr:row>
                    <xdr:rowOff>25400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B84"/>
  <sheetViews>
    <sheetView workbookViewId="0">
      <selection activeCell="D32" sqref="D32"/>
    </sheetView>
  </sheetViews>
  <sheetFormatPr baseColWidth="10" defaultColWidth="8.83203125" defaultRowHeight="15" x14ac:dyDescent="0.2"/>
  <sheetData>
    <row r="1" spans="1:2" ht="16" x14ac:dyDescent="0.2">
      <c r="A1" s="97"/>
      <c r="B1" s="61"/>
    </row>
    <row r="2" spans="1:2" ht="16" x14ac:dyDescent="0.2">
      <c r="A2" s="97"/>
      <c r="B2" s="61"/>
    </row>
    <row r="3" spans="1:2" ht="19" x14ac:dyDescent="0.2">
      <c r="A3" s="98" t="s">
        <v>93</v>
      </c>
      <c r="B3" s="61"/>
    </row>
    <row r="4" spans="1:2" ht="16" x14ac:dyDescent="0.2">
      <c r="A4" s="97"/>
      <c r="B4" s="61"/>
    </row>
    <row r="5" spans="1:2" ht="16" x14ac:dyDescent="0.2">
      <c r="A5" s="97"/>
      <c r="B5" s="61"/>
    </row>
    <row r="6" spans="1:2" ht="17" x14ac:dyDescent="0.2">
      <c r="A6" s="100" t="s">
        <v>94</v>
      </c>
      <c r="B6" s="61"/>
    </row>
    <row r="7" spans="1:2" ht="16" x14ac:dyDescent="0.2">
      <c r="A7" s="97" t="s">
        <v>95</v>
      </c>
      <c r="B7" s="61"/>
    </row>
    <row r="8" spans="1:2" ht="16" x14ac:dyDescent="0.2">
      <c r="A8" s="91"/>
      <c r="B8" s="61"/>
    </row>
    <row r="9" spans="1:2" ht="16" x14ac:dyDescent="0.2">
      <c r="A9" s="97" t="s">
        <v>96</v>
      </c>
      <c r="B9" s="61"/>
    </row>
    <row r="10" spans="1:2" ht="16" x14ac:dyDescent="0.2">
      <c r="A10" s="92" t="s">
        <v>97</v>
      </c>
      <c r="B10" s="61"/>
    </row>
    <row r="11" spans="1:2" ht="16" x14ac:dyDescent="0.2">
      <c r="A11" s="92" t="s">
        <v>98</v>
      </c>
      <c r="B11" s="61"/>
    </row>
    <row r="12" spans="1:2" ht="16" x14ac:dyDescent="0.2">
      <c r="A12" s="92" t="s">
        <v>99</v>
      </c>
      <c r="B12" s="61"/>
    </row>
    <row r="13" spans="1:2" ht="16" x14ac:dyDescent="0.2">
      <c r="A13" s="97"/>
      <c r="B13" s="61"/>
    </row>
    <row r="14" spans="1:2" ht="17" x14ac:dyDescent="0.2">
      <c r="A14" s="100" t="s">
        <v>100</v>
      </c>
      <c r="B14" s="61"/>
    </row>
    <row r="15" spans="1:2" ht="16" x14ac:dyDescent="0.2">
      <c r="A15" s="101" t="s">
        <v>101</v>
      </c>
      <c r="B15" s="61"/>
    </row>
    <row r="16" spans="1:2" ht="16" x14ac:dyDescent="0.2">
      <c r="A16" s="92" t="s">
        <v>102</v>
      </c>
      <c r="B16" s="61"/>
    </row>
    <row r="17" spans="1:2" ht="16" x14ac:dyDescent="0.2">
      <c r="A17" s="92" t="s">
        <v>103</v>
      </c>
      <c r="B17" s="61"/>
    </row>
    <row r="18" spans="1:2" ht="16" x14ac:dyDescent="0.2">
      <c r="A18" s="92" t="s">
        <v>104</v>
      </c>
      <c r="B18" s="61"/>
    </row>
    <row r="19" spans="1:2" ht="16" x14ac:dyDescent="0.2">
      <c r="A19" s="92" t="s">
        <v>105</v>
      </c>
      <c r="B19" s="61"/>
    </row>
    <row r="20" spans="1:2" ht="16" x14ac:dyDescent="0.2">
      <c r="A20" s="101"/>
      <c r="B20" s="61"/>
    </row>
    <row r="21" spans="1:2" ht="16" x14ac:dyDescent="0.2">
      <c r="A21" s="101" t="s">
        <v>106</v>
      </c>
      <c r="B21" s="61"/>
    </row>
    <row r="22" spans="1:2" ht="16" x14ac:dyDescent="0.2">
      <c r="A22" s="101"/>
      <c r="B22" s="61"/>
    </row>
    <row r="23" spans="1:2" ht="16" x14ac:dyDescent="0.2">
      <c r="A23" s="101" t="s">
        <v>107</v>
      </c>
      <c r="B23" s="61"/>
    </row>
    <row r="24" spans="1:2" ht="16" x14ac:dyDescent="0.2">
      <c r="A24" s="101"/>
      <c r="B24" s="61"/>
    </row>
    <row r="25" spans="1:2" ht="16" x14ac:dyDescent="0.2">
      <c r="A25" s="101" t="s">
        <v>108</v>
      </c>
      <c r="B25" s="61"/>
    </row>
    <row r="26" spans="1:2" ht="16" x14ac:dyDescent="0.2">
      <c r="A26" s="97" t="s">
        <v>109</v>
      </c>
      <c r="B26" s="61"/>
    </row>
    <row r="27" spans="1:2" ht="17" x14ac:dyDescent="0.2">
      <c r="A27" s="102" t="s">
        <v>110</v>
      </c>
      <c r="B27" s="61"/>
    </row>
    <row r="28" spans="1:2" ht="16" x14ac:dyDescent="0.2">
      <c r="A28" s="99"/>
      <c r="B28" s="61"/>
    </row>
    <row r="29" spans="1:2" ht="16" x14ac:dyDescent="0.2">
      <c r="A29" s="103" t="s">
        <v>111</v>
      </c>
      <c r="B29" s="61"/>
    </row>
    <row r="30" spans="1:2" ht="17" x14ac:dyDescent="0.2">
      <c r="A30" s="100" t="s">
        <v>112</v>
      </c>
      <c r="B30" s="61"/>
    </row>
    <row r="31" spans="1:2" ht="16" x14ac:dyDescent="0.2">
      <c r="A31" s="104" t="s">
        <v>113</v>
      </c>
      <c r="B31" s="61"/>
    </row>
    <row r="32" spans="1:2" ht="16" x14ac:dyDescent="0.2">
      <c r="A32" s="104" t="s">
        <v>114</v>
      </c>
      <c r="B32" s="61"/>
    </row>
    <row r="33" spans="1:2" ht="16" x14ac:dyDescent="0.2">
      <c r="A33" s="104" t="s">
        <v>115</v>
      </c>
      <c r="B33" s="61"/>
    </row>
    <row r="34" spans="1:2" ht="17" x14ac:dyDescent="0.2">
      <c r="A34" s="100" t="s">
        <v>116</v>
      </c>
      <c r="B34" s="61"/>
    </row>
    <row r="35" spans="1:2" ht="16" x14ac:dyDescent="0.2">
      <c r="A35" s="104" t="s">
        <v>117</v>
      </c>
      <c r="B35" s="61"/>
    </row>
    <row r="36" spans="1:2" ht="16" x14ac:dyDescent="0.2">
      <c r="A36" s="104" t="s">
        <v>118</v>
      </c>
      <c r="B36" s="61"/>
    </row>
    <row r="37" spans="1:2" ht="16" x14ac:dyDescent="0.2">
      <c r="A37" s="104" t="s">
        <v>119</v>
      </c>
      <c r="B37" s="61"/>
    </row>
    <row r="38" spans="1:2" ht="16" x14ac:dyDescent="0.2">
      <c r="A38" s="104" t="s">
        <v>120</v>
      </c>
      <c r="B38" s="61"/>
    </row>
    <row r="39" spans="1:2" ht="17" x14ac:dyDescent="0.2">
      <c r="A39" s="100" t="s">
        <v>121</v>
      </c>
      <c r="B39" s="61"/>
    </row>
    <row r="40" spans="1:2" ht="16" x14ac:dyDescent="0.2">
      <c r="A40" s="103" t="s">
        <v>122</v>
      </c>
      <c r="B40" s="61"/>
    </row>
    <row r="41" spans="1:2" ht="16" x14ac:dyDescent="0.2">
      <c r="A41" s="93"/>
      <c r="B41" s="61"/>
    </row>
    <row r="42" spans="1:2" ht="17" x14ac:dyDescent="0.2">
      <c r="A42" s="100" t="s">
        <v>123</v>
      </c>
      <c r="B42" s="61"/>
    </row>
    <row r="43" spans="1:2" ht="16" x14ac:dyDescent="0.2">
      <c r="A43" s="104" t="s">
        <v>124</v>
      </c>
      <c r="B43" s="61"/>
    </row>
    <row r="44" spans="1:2" ht="16" x14ac:dyDescent="0.2">
      <c r="A44" s="104" t="s">
        <v>125</v>
      </c>
      <c r="B44" s="61"/>
    </row>
    <row r="45" spans="1:2" ht="17" x14ac:dyDescent="0.2">
      <c r="A45" s="100" t="s">
        <v>126</v>
      </c>
      <c r="B45" s="61"/>
    </row>
    <row r="46" spans="1:2" ht="16" x14ac:dyDescent="0.2">
      <c r="A46" s="103" t="s">
        <v>127</v>
      </c>
      <c r="B46" s="61"/>
    </row>
    <row r="47" spans="1:2" ht="16" x14ac:dyDescent="0.2">
      <c r="A47" s="94"/>
      <c r="B47" s="61"/>
    </row>
    <row r="48" spans="1:2" ht="16" x14ac:dyDescent="0.2">
      <c r="A48" s="104" t="s">
        <v>128</v>
      </c>
      <c r="B48" s="61"/>
    </row>
    <row r="49" spans="1:2" ht="16" x14ac:dyDescent="0.2">
      <c r="A49" s="94"/>
      <c r="B49" s="61"/>
    </row>
    <row r="50" spans="1:2" ht="16" x14ac:dyDescent="0.2">
      <c r="A50" s="104" t="s">
        <v>129</v>
      </c>
      <c r="B50" s="61"/>
    </row>
    <row r="51" spans="1:2" ht="16" x14ac:dyDescent="0.2">
      <c r="A51" s="94"/>
      <c r="B51" s="61"/>
    </row>
    <row r="52" spans="1:2" ht="16" x14ac:dyDescent="0.2">
      <c r="A52" s="104" t="s">
        <v>130</v>
      </c>
      <c r="B52" s="61"/>
    </row>
    <row r="53" spans="1:2" ht="17" x14ac:dyDescent="0.2">
      <c r="A53" s="100" t="s">
        <v>131</v>
      </c>
      <c r="B53" s="61"/>
    </row>
    <row r="54" spans="1:2" ht="16" x14ac:dyDescent="0.2">
      <c r="A54" s="103" t="s">
        <v>132</v>
      </c>
      <c r="B54" s="61"/>
    </row>
    <row r="55" spans="1:2" ht="17" x14ac:dyDescent="0.2">
      <c r="A55" s="100" t="s">
        <v>133</v>
      </c>
      <c r="B55" s="61"/>
    </row>
    <row r="56" spans="1:2" ht="16" x14ac:dyDescent="0.2">
      <c r="A56" s="103" t="s">
        <v>134</v>
      </c>
      <c r="B56" s="61"/>
    </row>
    <row r="57" spans="1:2" ht="16" x14ac:dyDescent="0.2">
      <c r="A57" s="95"/>
      <c r="B57" s="61"/>
    </row>
    <row r="58" spans="1:2" ht="16" x14ac:dyDescent="0.2">
      <c r="A58" s="103" t="s">
        <v>135</v>
      </c>
      <c r="B58" s="61"/>
    </row>
    <row r="59" spans="1:2" ht="16" x14ac:dyDescent="0.2">
      <c r="A59" s="93"/>
      <c r="B59" s="61"/>
    </row>
    <row r="60" spans="1:2" ht="17" x14ac:dyDescent="0.2">
      <c r="A60" s="102" t="s">
        <v>136</v>
      </c>
      <c r="B60" s="61"/>
    </row>
    <row r="61" spans="1:2" ht="16" x14ac:dyDescent="0.2">
      <c r="A61" s="103" t="s">
        <v>137</v>
      </c>
      <c r="B61" s="61"/>
    </row>
    <row r="62" spans="1:2" ht="16" x14ac:dyDescent="0.2">
      <c r="A62" s="96" t="s">
        <v>138</v>
      </c>
      <c r="B62" s="61"/>
    </row>
    <row r="63" spans="1:2" ht="16" x14ac:dyDescent="0.2">
      <c r="A63" s="96" t="s">
        <v>139</v>
      </c>
      <c r="B63" s="61"/>
    </row>
    <row r="64" spans="1:2" ht="16" x14ac:dyDescent="0.2">
      <c r="A64" s="96" t="s">
        <v>140</v>
      </c>
      <c r="B64" s="61"/>
    </row>
    <row r="65" spans="1:2" ht="16" x14ac:dyDescent="0.2">
      <c r="A65" s="96" t="s">
        <v>141</v>
      </c>
      <c r="B65" s="61"/>
    </row>
    <row r="66" spans="1:2" ht="16" x14ac:dyDescent="0.2">
      <c r="A66" s="96" t="s">
        <v>142</v>
      </c>
      <c r="B66" s="61"/>
    </row>
    <row r="67" spans="1:2" ht="17" x14ac:dyDescent="0.2">
      <c r="A67" s="100" t="s">
        <v>143</v>
      </c>
      <c r="B67" s="61"/>
    </row>
    <row r="68" spans="1:2" ht="16" x14ac:dyDescent="0.2">
      <c r="A68" s="103" t="s">
        <v>144</v>
      </c>
      <c r="B68" s="61"/>
    </row>
    <row r="69" spans="1:2" ht="17" x14ac:dyDescent="0.2">
      <c r="A69" s="100" t="s">
        <v>145</v>
      </c>
      <c r="B69" s="61"/>
    </row>
    <row r="70" spans="1:2" ht="16" x14ac:dyDescent="0.2">
      <c r="A70" s="103" t="s">
        <v>146</v>
      </c>
      <c r="B70" s="61"/>
    </row>
    <row r="71" spans="1:2" ht="16" x14ac:dyDescent="0.2">
      <c r="A71" s="95"/>
      <c r="B71" s="61"/>
    </row>
    <row r="72" spans="1:2" ht="16" x14ac:dyDescent="0.2">
      <c r="A72" s="104" t="s">
        <v>147</v>
      </c>
      <c r="B72" s="61"/>
    </row>
    <row r="73" spans="1:2" ht="16" x14ac:dyDescent="0.2">
      <c r="A73" s="96" t="s">
        <v>148</v>
      </c>
      <c r="B73" s="61"/>
    </row>
    <row r="74" spans="1:2" ht="16" x14ac:dyDescent="0.2">
      <c r="A74" s="96" t="s">
        <v>149</v>
      </c>
      <c r="B74" s="61"/>
    </row>
    <row r="75" spans="1:2" ht="16" x14ac:dyDescent="0.2">
      <c r="A75" s="96" t="s">
        <v>150</v>
      </c>
      <c r="B75" s="61"/>
    </row>
    <row r="76" spans="1:2" ht="16" x14ac:dyDescent="0.2">
      <c r="A76" s="96" t="s">
        <v>151</v>
      </c>
      <c r="B76" s="61"/>
    </row>
    <row r="77" spans="1:2" ht="16" x14ac:dyDescent="0.2">
      <c r="A77" s="96" t="s">
        <v>152</v>
      </c>
      <c r="B77" s="61"/>
    </row>
    <row r="78" spans="1:2" ht="16" x14ac:dyDescent="0.2">
      <c r="A78" s="96" t="s">
        <v>153</v>
      </c>
      <c r="B78" s="61"/>
    </row>
    <row r="79" spans="1:2" ht="16" x14ac:dyDescent="0.2">
      <c r="A79" s="96" t="s">
        <v>154</v>
      </c>
      <c r="B79" s="61"/>
    </row>
    <row r="80" spans="1:2" ht="16" x14ac:dyDescent="0.2">
      <c r="A80" s="104" t="s">
        <v>155</v>
      </c>
      <c r="B80" s="61"/>
    </row>
    <row r="81" spans="1:2" ht="16" x14ac:dyDescent="0.2">
      <c r="A81" s="96" t="s">
        <v>156</v>
      </c>
      <c r="B81" s="61"/>
    </row>
    <row r="82" spans="1:2" ht="16" x14ac:dyDescent="0.2">
      <c r="A82" s="96" t="s">
        <v>157</v>
      </c>
      <c r="B82" s="61"/>
    </row>
    <row r="83" spans="1:2" ht="16" x14ac:dyDescent="0.2">
      <c r="A83" s="96" t="s">
        <v>158</v>
      </c>
      <c r="B83" s="61"/>
    </row>
    <row r="84" spans="1:2" ht="16" x14ac:dyDescent="0.2">
      <c r="A84" s="96" t="s">
        <v>159</v>
      </c>
      <c r="B84" s="6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A39"/>
  <sheetViews>
    <sheetView topLeftCell="A36" workbookViewId="0">
      <selection activeCell="D32" sqref="D32"/>
    </sheetView>
  </sheetViews>
  <sheetFormatPr baseColWidth="10" defaultColWidth="8.5" defaultRowHeight="15" x14ac:dyDescent="0.2"/>
  <cols>
    <col min="1" max="16384" width="8.5" style="61"/>
  </cols>
  <sheetData>
    <row r="1" spans="1:1" ht="16" x14ac:dyDescent="0.2">
      <c r="A1" s="63" t="s">
        <v>160</v>
      </c>
    </row>
    <row r="2" spans="1:1" ht="16" x14ac:dyDescent="0.2">
      <c r="A2" s="63"/>
    </row>
    <row r="3" spans="1:1" ht="16" x14ac:dyDescent="0.2">
      <c r="A3" s="63" t="s">
        <v>94</v>
      </c>
    </row>
    <row r="4" spans="1:1" ht="16" x14ac:dyDescent="0.2">
      <c r="A4" s="89" t="s">
        <v>161</v>
      </c>
    </row>
    <row r="5" spans="1:1" ht="16" x14ac:dyDescent="0.2">
      <c r="A5" s="89"/>
    </row>
    <row r="6" spans="1:1" ht="16" x14ac:dyDescent="0.2">
      <c r="A6" s="63" t="s">
        <v>162</v>
      </c>
    </row>
    <row r="7" spans="1:1" ht="16" x14ac:dyDescent="0.2">
      <c r="A7" s="89" t="s">
        <v>163</v>
      </c>
    </row>
    <row r="8" spans="1:1" ht="16" x14ac:dyDescent="0.2">
      <c r="A8" s="86" t="s">
        <v>164</v>
      </c>
    </row>
    <row r="9" spans="1:1" ht="16" x14ac:dyDescent="0.2">
      <c r="A9" s="86" t="s">
        <v>165</v>
      </c>
    </row>
    <row r="10" spans="1:1" ht="16" x14ac:dyDescent="0.2">
      <c r="A10" s="86" t="s">
        <v>166</v>
      </c>
    </row>
    <row r="11" spans="1:1" ht="16" x14ac:dyDescent="0.2">
      <c r="A11" s="86" t="s">
        <v>167</v>
      </c>
    </row>
    <row r="12" spans="1:1" ht="16" x14ac:dyDescent="0.2">
      <c r="A12" s="87"/>
    </row>
    <row r="13" spans="1:1" ht="16" x14ac:dyDescent="0.2">
      <c r="A13" s="63" t="s">
        <v>168</v>
      </c>
    </row>
    <row r="14" spans="1:1" ht="16" x14ac:dyDescent="0.2">
      <c r="A14" s="89" t="s">
        <v>169</v>
      </c>
    </row>
    <row r="15" spans="1:1" ht="16" x14ac:dyDescent="0.2">
      <c r="A15" s="86" t="s">
        <v>170</v>
      </c>
    </row>
    <row r="16" spans="1:1" ht="16" x14ac:dyDescent="0.2">
      <c r="A16" s="86" t="s">
        <v>171</v>
      </c>
    </row>
    <row r="17" spans="1:1" ht="16" x14ac:dyDescent="0.2">
      <c r="A17" s="86" t="s">
        <v>172</v>
      </c>
    </row>
    <row r="18" spans="1:1" ht="16" x14ac:dyDescent="0.2">
      <c r="A18" s="86" t="s">
        <v>173</v>
      </c>
    </row>
    <row r="19" spans="1:1" ht="16" x14ac:dyDescent="0.2">
      <c r="A19" s="89"/>
    </row>
    <row r="20" spans="1:1" ht="16" x14ac:dyDescent="0.2">
      <c r="A20" s="63" t="s">
        <v>174</v>
      </c>
    </row>
    <row r="21" spans="1:1" ht="16" x14ac:dyDescent="0.2">
      <c r="A21" s="89" t="s">
        <v>175</v>
      </c>
    </row>
    <row r="22" spans="1:1" ht="16" x14ac:dyDescent="0.2">
      <c r="A22" s="86" t="s">
        <v>176</v>
      </c>
    </row>
    <row r="23" spans="1:1" ht="17" x14ac:dyDescent="0.2">
      <c r="A23" s="88" t="s">
        <v>177</v>
      </c>
    </row>
    <row r="24" spans="1:1" ht="17" x14ac:dyDescent="0.2">
      <c r="A24" s="88" t="s">
        <v>178</v>
      </c>
    </row>
    <row r="25" spans="1:1" ht="16" x14ac:dyDescent="0.2">
      <c r="A25" s="86" t="s">
        <v>179</v>
      </c>
    </row>
    <row r="26" spans="1:1" ht="17" x14ac:dyDescent="0.2">
      <c r="A26" s="88" t="s">
        <v>180</v>
      </c>
    </row>
    <row r="27" spans="1:1" ht="16" x14ac:dyDescent="0.2">
      <c r="A27" s="86" t="s">
        <v>181</v>
      </c>
    </row>
    <row r="28" spans="1:1" ht="17" x14ac:dyDescent="0.2">
      <c r="A28" s="88" t="s">
        <v>182</v>
      </c>
    </row>
    <row r="29" spans="1:1" ht="16" x14ac:dyDescent="0.2">
      <c r="A29" s="86" t="s">
        <v>183</v>
      </c>
    </row>
    <row r="30" spans="1:1" ht="17" x14ac:dyDescent="0.2">
      <c r="A30" s="88" t="s">
        <v>184</v>
      </c>
    </row>
    <row r="31" spans="1:1" ht="17" x14ac:dyDescent="0.2">
      <c r="A31" s="88" t="s">
        <v>185</v>
      </c>
    </row>
    <row r="32" spans="1:1" ht="16" x14ac:dyDescent="0.2">
      <c r="A32" s="86" t="s">
        <v>186</v>
      </c>
    </row>
    <row r="33" spans="1:1" ht="17" x14ac:dyDescent="0.2">
      <c r="A33" s="88" t="s">
        <v>187</v>
      </c>
    </row>
    <row r="34" spans="1:1" ht="16" x14ac:dyDescent="0.2">
      <c r="A34" s="89"/>
    </row>
    <row r="35" spans="1:1" ht="16" x14ac:dyDescent="0.2">
      <c r="A35" s="63" t="s">
        <v>188</v>
      </c>
    </row>
    <row r="36" spans="1:1" ht="16" x14ac:dyDescent="0.2">
      <c r="A36" s="89" t="s">
        <v>189</v>
      </c>
    </row>
    <row r="37" spans="1:1" ht="16" x14ac:dyDescent="0.2">
      <c r="A37" s="63"/>
    </row>
    <row r="38" spans="1:1" ht="16" x14ac:dyDescent="0.2">
      <c r="A38" s="63"/>
    </row>
    <row r="39" spans="1:1" x14ac:dyDescent="0.2">
      <c r="A39" s="9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cbd88e-8fd6-4409-a42f-e71169ff8d79">
      <Terms xmlns="http://schemas.microsoft.com/office/infopath/2007/PartnerControls"/>
    </lcf76f155ced4ddcb4097134ff3c332f>
    <TaxCatchAll xmlns="84399435-7ae6-460f-8eaa-c709684ad92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BD46CA3D4FF6428C76A36E857EAD66" ma:contentTypeVersion="15" ma:contentTypeDescription="Create a new document." ma:contentTypeScope="" ma:versionID="629891598fcee34db6c750210dea9c10">
  <xsd:schema xmlns:xsd="http://www.w3.org/2001/XMLSchema" xmlns:xs="http://www.w3.org/2001/XMLSchema" xmlns:p="http://schemas.microsoft.com/office/2006/metadata/properties" xmlns:ns2="34cbd88e-8fd6-4409-a42f-e71169ff8d79" xmlns:ns3="84399435-7ae6-460f-8eaa-c709684ad924" targetNamespace="http://schemas.microsoft.com/office/2006/metadata/properties" ma:root="true" ma:fieldsID="6052699c5b0aab98e1aabfd720bf8b1f" ns2:_="" ns3:_="">
    <xsd:import namespace="34cbd88e-8fd6-4409-a42f-e71169ff8d79"/>
    <xsd:import namespace="84399435-7ae6-460f-8eaa-c709684ad9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cbd88e-8fd6-4409-a42f-e71169ff8d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399435-7ae6-460f-8eaa-c709684ad9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827c2a3-a0a6-42a1-96fe-668f22a7d2ce}" ma:internalName="TaxCatchAll" ma:showField="CatchAllData" ma:web="84399435-7ae6-460f-8eaa-c709684ad92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FC7C304-16C2-47D2-9C6F-D305DEDC7970}">
  <ds:schemaRefs>
    <ds:schemaRef ds:uri="http://schemas.microsoft.com/office/2006/metadata/properties"/>
    <ds:schemaRef ds:uri="http://schemas.microsoft.com/office/infopath/2007/PartnerControls"/>
    <ds:schemaRef ds:uri="34cbd88e-8fd6-4409-a42f-e71169ff8d79"/>
    <ds:schemaRef ds:uri="84399435-7ae6-460f-8eaa-c709684ad924"/>
  </ds:schemaRefs>
</ds:datastoreItem>
</file>

<file path=customXml/itemProps2.xml><?xml version="1.0" encoding="utf-8"?>
<ds:datastoreItem xmlns:ds="http://schemas.openxmlformats.org/officeDocument/2006/customXml" ds:itemID="{089BEDF7-F38F-4F81-9C5F-F762FF9EF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cbd88e-8fd6-4409-a42f-e71169ff8d79"/>
    <ds:schemaRef ds:uri="84399435-7ae6-460f-8eaa-c709684ad9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9D078D-04E5-43A6-92BD-B8F9DA920760}">
  <ds:schemaRefs>
    <ds:schemaRef ds:uri="http://schemas.microsoft.com/sharepoint/v3/contenttype/forms"/>
  </ds:schemaRefs>
</ds:datastoreItem>
</file>

<file path=customXml/itemProps4.xml><?xml version="1.0" encoding="utf-8"?>
<ds:datastoreItem xmlns:ds="http://schemas.openxmlformats.org/officeDocument/2006/customXml" ds:itemID="{8746A270-5BCF-4E2D-BFC7-6BCEB4701E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Exp Reimb Form</vt:lpstr>
      <vt:lpstr>Budget Coding Reference Alph</vt:lpstr>
      <vt:lpstr>Travel Reimb Form</vt:lpstr>
      <vt:lpstr>Missing Doc Form</vt:lpstr>
      <vt:lpstr>CMI Staff Exp Reimb POLICY</vt:lpstr>
      <vt:lpstr>NON-CMI STAFF Exp Reimb POLICY</vt:lpstr>
      <vt:lpstr>'CMI Staff Exp Reimb POLICY'!_Toc170362663</vt:lpstr>
      <vt:lpstr>'CMI Staff Exp Reimb POLICY'!_Toc170362664</vt:lpstr>
      <vt:lpstr>'CMI Staff Exp Reimb POLICY'!_Toc170363025</vt:lpstr>
      <vt:lpstr>'CMI Staff Exp Reimb POLICY'!_Toc170363026</vt:lpstr>
      <vt:lpstr>'CMI Staff Exp Reimb POLICY'!_Toc170363027</vt:lpstr>
      <vt:lpstr>'CMI Staff Exp Reimb POLICY'!_Toc170363028</vt:lpstr>
      <vt:lpstr>'CMI Staff Exp Reimb POLICY'!_Toc170363029</vt:lpstr>
      <vt:lpstr>'CMI Staff Exp Reimb POLICY'!_Toc170363030</vt:lpstr>
      <vt:lpstr>'CMI Staff Exp Reimb POLICY'!_Toc170363031</vt:lpstr>
      <vt:lpstr>'CMI Staff Exp Reimb POLICY'!_Toc170363032</vt:lpstr>
      <vt:lpstr>'CMI Staff Exp Reimb POLICY'!_Toc170363033</vt:lpstr>
      <vt:lpstr>'Exp Reimb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Gordon</dc:creator>
  <cp:keywords/>
  <dc:description/>
  <cp:lastModifiedBy>Nathalia Esper</cp:lastModifiedBy>
  <cp:revision/>
  <cp:lastPrinted>2025-01-15T18:18:04Z</cp:lastPrinted>
  <dcterms:created xsi:type="dcterms:W3CDTF">2010-11-12T20:54:31Z</dcterms:created>
  <dcterms:modified xsi:type="dcterms:W3CDTF">2026-09-02T19:33:52Z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0x0101005EBD46CA3D4FF6428C76A36E857EAD66</vt:lpwstr>
  </property>
  <property fmtid="{D5CDD505-2E9C-101B-9397-08002B2CF9AE}" pid="3" name="MediaServiceImageTags">
    <vt:lpwstr/>
  </property>
</Properties>
</file>